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heng-my.sharepoint.com/personal/daniel_debarros_khe_eu/Documents/Documenten/Scripts/Estimating Tool/"/>
    </mc:Choice>
  </mc:AlternateContent>
  <xr:revisionPtr revIDLastSave="0" documentId="6_{644562AE-9603-4868-B66D-B5CB20BF1A93}" xr6:coauthVersionLast="47" xr6:coauthVersionMax="47" xr10:uidLastSave="{00000000-0000-0000-0000-000000000000}"/>
  <bookViews>
    <workbookView xWindow="-108" yWindow="-108" windowWidth="23256" windowHeight="12576" activeTab="3" xr2:uid="{D27B4CDF-4683-406E-B6BB-303CB1662293}"/>
  </bookViews>
  <sheets>
    <sheet name="Sheet1" sheetId="1" r:id="rId1"/>
    <sheet name="DELIVERABLES" sheetId="2" r:id="rId2"/>
    <sheet name="Mapping" sheetId="3" r:id="rId3"/>
    <sheet name="OverviewSheet" sheetId="4" r:id="rId4"/>
  </sheets>
  <definedNames>
    <definedName name="_xlnm._FilterDatabase" localSheetId="1" hidden="1">DELIVERABLES!$A$1:$P$313</definedName>
    <definedName name="_xlnm._FilterDatabase" localSheetId="2" hidden="1">Mapping!$A$1:$H$239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7" i="4" l="1"/>
  <c r="D96" i="4"/>
  <c r="D98" i="4" s="1"/>
  <c r="D95" i="4"/>
  <c r="D94" i="4"/>
  <c r="D93" i="4"/>
  <c r="D92" i="4"/>
  <c r="D33" i="2" l="1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2" i="2"/>
  <c r="D30" i="2"/>
  <c r="D31" i="2"/>
  <c r="D24" i="2"/>
  <c r="D25" i="2"/>
  <c r="D26" i="2"/>
  <c r="D27" i="2"/>
  <c r="D28" i="2"/>
  <c r="D29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4" i="2"/>
</calcChain>
</file>

<file path=xl/sharedStrings.xml><?xml version="1.0" encoding="utf-8"?>
<sst xmlns="http://schemas.openxmlformats.org/spreadsheetml/2006/main" count="2268" uniqueCount="893">
  <si>
    <t>WBS</t>
  </si>
  <si>
    <t>Check'd</t>
  </si>
  <si>
    <t>Appr'd</t>
  </si>
  <si>
    <t>UNIT</t>
  </si>
  <si>
    <t>FEL1</t>
  </si>
  <si>
    <t>FEL2</t>
  </si>
  <si>
    <t>FEL3</t>
  </si>
  <si>
    <t>REMARKS</t>
  </si>
  <si>
    <t>147</t>
  </si>
  <si>
    <t/>
  </si>
  <si>
    <t>INSTRUMENTATION &amp; PROCESS CONTROL</t>
  </si>
  <si>
    <t>1470</t>
  </si>
  <si>
    <t>Supervision/General</t>
  </si>
  <si>
    <t>-</t>
  </si>
  <si>
    <t>0001</t>
  </si>
  <si>
    <t>Project Coordination</t>
  </si>
  <si>
    <t>wks</t>
  </si>
  <si>
    <t>x</t>
  </si>
  <si>
    <t>- Technical Coordination</t>
  </si>
  <si>
    <t>- Project Control &amp; Reporting</t>
  </si>
  <si>
    <t>- Project Administration</t>
  </si>
  <si>
    <t>0002</t>
  </si>
  <si>
    <t>Project Start-up</t>
  </si>
  <si>
    <t>qty</t>
  </si>
  <si>
    <t>- Study of Project</t>
  </si>
  <si>
    <t>- Project Plan</t>
  </si>
  <si>
    <t>- Site survey &amp; visits</t>
  </si>
  <si>
    <t>- Archives activities &amp; document retrieval</t>
  </si>
  <si>
    <t>- As Built Verification</t>
  </si>
  <si>
    <t>0003</t>
  </si>
  <si>
    <t>Project Close-out</t>
  </si>
  <si>
    <t>- Clean out of files</t>
  </si>
  <si>
    <t>- Archives activities</t>
  </si>
  <si>
    <t>- Lessons Learned &amp; Close out reporting</t>
  </si>
  <si>
    <t>0004</t>
  </si>
  <si>
    <t>Meetings</t>
  </si>
  <si>
    <t>as per meeting schedule</t>
  </si>
  <si>
    <t>- Kick Off Meeting</t>
  </si>
  <si>
    <t>- Progress Meeting - Internal</t>
  </si>
  <si>
    <t>- Progress Meeting - External</t>
  </si>
  <si>
    <t>- Technical Coordination Meeting</t>
  </si>
  <si>
    <t>0005</t>
  </si>
  <si>
    <t>Reviews</t>
  </si>
  <si>
    <t>hrs</t>
  </si>
  <si>
    <t xml:space="preserve">- Design Review </t>
  </si>
  <si>
    <t>- 3D Model Review 30</t>
  </si>
  <si>
    <t>- 3D Model Review 60</t>
  </si>
  <si>
    <t>- 3D Model Review 90</t>
  </si>
  <si>
    <t>- Operability &amp; Maintainability Review</t>
  </si>
  <si>
    <t>- Constructability Review</t>
  </si>
  <si>
    <t>1471</t>
  </si>
  <si>
    <t>Studies &amp; Reports</t>
  </si>
  <si>
    <t>Basis of Design Report - input</t>
  </si>
  <si>
    <t>xxxxx-G-1471-0001-001</t>
  </si>
  <si>
    <t>SrE</t>
  </si>
  <si>
    <t>LE</t>
  </si>
  <si>
    <t>Basic Engineering Package Report  - input</t>
  </si>
  <si>
    <t>5000</t>
  </si>
  <si>
    <t>xxxxx-G-1201-0031-001</t>
  </si>
  <si>
    <t xml:space="preserve">Authority Coordination </t>
  </si>
  <si>
    <t>xxxxx-G-1471-0003-001</t>
  </si>
  <si>
    <t>concept</t>
  </si>
  <si>
    <t>7000</t>
  </si>
  <si>
    <t>Process Control Philosophy</t>
  </si>
  <si>
    <t>xxxxx-G-1471-7000-001</t>
  </si>
  <si>
    <t>7001</t>
  </si>
  <si>
    <t>Control Narratives</t>
  </si>
  <si>
    <t>xxxxx-G-1471-7001-001</t>
  </si>
  <si>
    <t>Safeguarding Narratives</t>
  </si>
  <si>
    <t>xxxxx-G-1471-7002-001</t>
  </si>
  <si>
    <t>Control System Configuration Sheets</t>
  </si>
  <si>
    <t>xxxxx-G-1471-7003-001</t>
  </si>
  <si>
    <t>Migration Book (for reinstrumentation projects only)</t>
  </si>
  <si>
    <t>xxxxx-G-1471-7004-001</t>
  </si>
  <si>
    <t>Process Hazard Study HAZOP</t>
  </si>
  <si>
    <t>xxxxx-D-1471-0003-001</t>
  </si>
  <si>
    <t>o</t>
  </si>
  <si>
    <t>0104</t>
  </si>
  <si>
    <t>Process Hazard Study LOPA</t>
  </si>
  <si>
    <t>xxxxx-D-1471-0104-001</t>
  </si>
  <si>
    <t>0205</t>
  </si>
  <si>
    <t>Process Hazard Study HAZID</t>
  </si>
  <si>
    <t>xxxxx-D-1471-0205-001</t>
  </si>
  <si>
    <t>0306</t>
  </si>
  <si>
    <t>Process Hazard Study SWIFT</t>
  </si>
  <si>
    <t>xxxxx-D-1471-0306-001</t>
  </si>
  <si>
    <t>0407</t>
  </si>
  <si>
    <t>Process Hazard Study SIL</t>
  </si>
  <si>
    <t>xxxxx-D-1471-0407-001</t>
  </si>
  <si>
    <t>0408</t>
  </si>
  <si>
    <t>Process Hazard Study SIL verification report</t>
  </si>
  <si>
    <t>xxxxx-D-1471-0408-001</t>
  </si>
  <si>
    <t>1478</t>
  </si>
  <si>
    <t>0000</t>
  </si>
  <si>
    <t>Instrument Data to Process</t>
  </si>
  <si>
    <t>xxxxx-D-1471-0000-001</t>
  </si>
  <si>
    <t>1000</t>
  </si>
  <si>
    <t>Instrument Data to Civil Structural Architectural</t>
  </si>
  <si>
    <t>xxxxx-D-1471-1000-001</t>
  </si>
  <si>
    <t>Instrument Data to Mechanical</t>
  </si>
  <si>
    <t>xxxxx-D-1471-5000-001</t>
  </si>
  <si>
    <t>6000</t>
  </si>
  <si>
    <t>Instrument Data to Piping</t>
  </si>
  <si>
    <t>xxxxx-D-1471-6000-001</t>
  </si>
  <si>
    <t>8000</t>
  </si>
  <si>
    <t xml:space="preserve">Instrument Data to Electrical </t>
  </si>
  <si>
    <t>xxxxx-D-1471-8000-001</t>
  </si>
  <si>
    <t>Z000</t>
  </si>
  <si>
    <t>Others(to specify)</t>
  </si>
  <si>
    <t>xxxxx-D-1471-Z000-001</t>
  </si>
  <si>
    <t>1472</t>
  </si>
  <si>
    <t>Diagrams</t>
  </si>
  <si>
    <t>P&amp;ID - input</t>
  </si>
  <si>
    <t>xxxxx-D-1472-0000-001</t>
  </si>
  <si>
    <t>General Specification Instrumentation</t>
  </si>
  <si>
    <t>Instrument Control System Block Diagram</t>
  </si>
  <si>
    <t>xxxxx-D-1472-7101-001</t>
  </si>
  <si>
    <t>Instrument Cause &amp; Effect Diagrams</t>
  </si>
  <si>
    <t>Instrument Index</t>
  </si>
  <si>
    <t>1473</t>
  </si>
  <si>
    <t>xxxxx-D-1472-7102-001</t>
  </si>
  <si>
    <t>Instrument Logic Diagrams</t>
  </si>
  <si>
    <t>xxxxx-D-1472-7103-001</t>
  </si>
  <si>
    <t>Instrument Flow Charts</t>
  </si>
  <si>
    <t>xxxxx-D-1472-7104-001</t>
  </si>
  <si>
    <t>Instrument Schematic / Relay Diagram</t>
  </si>
  <si>
    <t>xxxxx-D-1472-7105-001</t>
  </si>
  <si>
    <t>DE</t>
  </si>
  <si>
    <t>Instrument Cabinet Drawing</t>
  </si>
  <si>
    <t>Instrument Connection Diagrams</t>
  </si>
  <si>
    <t>xxxxx-D-1472-7106-001</t>
  </si>
  <si>
    <t>Instrument Loop Diagrams</t>
  </si>
  <si>
    <t>Instrument Cable Block Diagram</t>
  </si>
  <si>
    <t>xxxxx-D-1472-7801-001</t>
  </si>
  <si>
    <t>xxxxx-D-1472-7802-001</t>
  </si>
  <si>
    <t>xxxxx-D-1472-7803-001</t>
  </si>
  <si>
    <t>xxxxx-D-1472-Z000-001</t>
  </si>
  <si>
    <t>Lists</t>
  </si>
  <si>
    <t>xxxxx-?-1473-7000-001</t>
  </si>
  <si>
    <t>Instrument ATEX list</t>
  </si>
  <si>
    <t>xxxxx-?-1473-7001-001</t>
  </si>
  <si>
    <t>main</t>
  </si>
  <si>
    <t>Instrument I/O list</t>
  </si>
  <si>
    <t>xxxxx-?-1473-7101-001</t>
  </si>
  <si>
    <t>Instrument Alarm Trip and Setting List</t>
  </si>
  <si>
    <t>xxxxx-?-1473-7102-001</t>
  </si>
  <si>
    <t>Safety Valve List</t>
  </si>
  <si>
    <t>xxxxx-?-1473-7430-001</t>
  </si>
  <si>
    <t>7801</t>
  </si>
  <si>
    <t>Instrument Cable List</t>
  </si>
  <si>
    <t>xxxxx-?-1473-7801-001</t>
  </si>
  <si>
    <t xml:space="preserve">Lay-out - Main instrument Cable Routing </t>
  </si>
  <si>
    <t>1476</t>
  </si>
  <si>
    <t>Specification - Wiring &amp; Cabling</t>
  </si>
  <si>
    <t>7802</t>
  </si>
  <si>
    <t>Instrument Air Distribution List</t>
  </si>
  <si>
    <t>xxxxx-?-1473-7802-001</t>
  </si>
  <si>
    <t>Lay-out - Field Instruments</t>
  </si>
  <si>
    <t>7300</t>
  </si>
  <si>
    <t>Instrument Nameplate List</t>
  </si>
  <si>
    <t>xxxxx-?-1473-7803-001</t>
  </si>
  <si>
    <t>xxxxx-?-1473-Z000-001</t>
  </si>
  <si>
    <t>1474</t>
  </si>
  <si>
    <t>Calculations</t>
  </si>
  <si>
    <t>Calculation - Intrinsic Safe</t>
  </si>
  <si>
    <t>xxxxx-C-1474-7001-001</t>
  </si>
  <si>
    <t>E</t>
  </si>
  <si>
    <t>Calculation - Instrument Utility Consumption</t>
  </si>
  <si>
    <t>xxxxx-C-1474-7002-001</t>
  </si>
  <si>
    <t xml:space="preserve">Calculation - Fieldbus </t>
  </si>
  <si>
    <t>xxxxx-C-1474-7100-001</t>
  </si>
  <si>
    <t>Calculation - Flow Instruments</t>
  </si>
  <si>
    <t>xxxxx-C-1474-7320-001</t>
  </si>
  <si>
    <t>Calculation - Level Instruments</t>
  </si>
  <si>
    <t>xxxxx-C-1474-7330-001</t>
  </si>
  <si>
    <t>Calculation - Temperature Instruments</t>
  </si>
  <si>
    <t>xxxxx-C-1474-7340-001</t>
  </si>
  <si>
    <t>Calculation - Remote Actuated Valves (Control Valves)</t>
  </si>
  <si>
    <t>xxxxx-C-1474-7410-001</t>
  </si>
  <si>
    <t>7800</t>
  </si>
  <si>
    <t>Calculation - Instrument Cable Size</t>
  </si>
  <si>
    <t>xxxxx-C-1474-7800-001</t>
  </si>
  <si>
    <t>xxxxx-C-1474-Z000-001</t>
  </si>
  <si>
    <t>1475</t>
  </si>
  <si>
    <t>Modelling</t>
  </si>
  <si>
    <t>Instrument Engineering Database</t>
  </si>
  <si>
    <t>xxxxx-D-1475-7000-001</t>
  </si>
  <si>
    <t>Instrument Wiring Database</t>
  </si>
  <si>
    <t>xxxxx-D-1475-7800-001</t>
  </si>
  <si>
    <t>Instrument Engineering Database Administration</t>
  </si>
  <si>
    <t>xxxxx-D-1475-7900-001</t>
  </si>
  <si>
    <t>Layouts</t>
  </si>
  <si>
    <t>Lay-out - Central Control Room</t>
  </si>
  <si>
    <t>xxxxx-D-1476-7000-001</t>
  </si>
  <si>
    <t>Specification - Integrated Control System</t>
  </si>
  <si>
    <t>7100</t>
  </si>
  <si>
    <t xml:space="preserve">Lay-out - Instrument Auxiliary Room </t>
  </si>
  <si>
    <t>xxxxx-D-1476-7001-001</t>
  </si>
  <si>
    <t>7200</t>
  </si>
  <si>
    <t>Lay-out - Fire &amp; Gas Detection</t>
  </si>
  <si>
    <t>xxxxx-D-1476-7200-001</t>
  </si>
  <si>
    <t>xxxxx-D-1476-7300-001</t>
  </si>
  <si>
    <t>7700</t>
  </si>
  <si>
    <t>Lay-out - Telecommunication</t>
  </si>
  <si>
    <t>Specification - Communication System</t>
  </si>
  <si>
    <t>xxxxx-D-1476-7700-001</t>
  </si>
  <si>
    <t xml:space="preserve">Lay-out - Main Instrument Cable Duct / Tray </t>
  </si>
  <si>
    <t>xxxxx-D-1476-7810-001</t>
  </si>
  <si>
    <t>input for 3D model</t>
  </si>
  <si>
    <t>xxxxx-D-1476-7820-001</t>
  </si>
  <si>
    <t xml:space="preserve">Lay-out - Instrument Air &amp; Tubing </t>
  </si>
  <si>
    <t>xxxxx-D-1476-7840-001</t>
  </si>
  <si>
    <t>1477</t>
  </si>
  <si>
    <t>Detail Drawings</t>
  </si>
  <si>
    <t xml:space="preserve">Hook-up - Electrical </t>
  </si>
  <si>
    <t>xxxxx-D-1477-7820-001</t>
  </si>
  <si>
    <t>Hook-up - Instrument Process (Instrument Impuls Lines)</t>
  </si>
  <si>
    <t>xxxxx-D-1477-7830-001</t>
  </si>
  <si>
    <t xml:space="preserve">Hook-up - Pneumatic / Air </t>
  </si>
  <si>
    <t>xxxxx-D-1477-7840-001</t>
  </si>
  <si>
    <t>700Z</t>
  </si>
  <si>
    <t>Instrumentation Demolition Package</t>
  </si>
  <si>
    <t>xxxxx-D-1417-700Z-001</t>
  </si>
  <si>
    <t>xxxxx-D-1477-Z000-001</t>
  </si>
  <si>
    <t>Specifications &amp; Requisitions</t>
  </si>
  <si>
    <t>mat'l specification includes datasheet</t>
  </si>
  <si>
    <t>General Requisition Instrumentation</t>
  </si>
  <si>
    <t>xxxxx-?-1478-7000-001</t>
  </si>
  <si>
    <t>xxxxx-?-1478-7001-001</t>
  </si>
  <si>
    <t>7002</t>
  </si>
  <si>
    <t>General Specification Safety Requirements</t>
  </si>
  <si>
    <t>xxxxx-?-1478-7002-001</t>
  </si>
  <si>
    <t>Specification - Cabinets, Panels &amp; Racks</t>
  </si>
  <si>
    <t>xxxxx-?-1478-7100-001</t>
  </si>
  <si>
    <t>Specification - Consoles</t>
  </si>
  <si>
    <t>xxxxx-?-1478-7110-001</t>
  </si>
  <si>
    <t>Specification - Panels</t>
  </si>
  <si>
    <t>xxxxx-?-1478-7120-001</t>
  </si>
  <si>
    <t>Specification - Cabinets &amp; Racks</t>
  </si>
  <si>
    <t>xxxxx-?-1478-7130-001</t>
  </si>
  <si>
    <t>Specification - Power Distribution</t>
  </si>
  <si>
    <t>xxxxx-?-1478-7140-001</t>
  </si>
  <si>
    <t>7199</t>
  </si>
  <si>
    <t>Vendor Document Check - Cabinets, Panels &amp; Racks</t>
  </si>
  <si>
    <t>Specification - Process Automation Systems</t>
  </si>
  <si>
    <t>xxxxx-?-1478-7200-001</t>
  </si>
  <si>
    <t>xxxxx-?-1478-7210-001</t>
  </si>
  <si>
    <t>Specification - Safety Instrumented System</t>
  </si>
  <si>
    <t>xxxxx-?-1478-7220-001</t>
  </si>
  <si>
    <t>Specification - Fire &amp; Gas Detection System (FGS)</t>
  </si>
  <si>
    <t>xxxxx-?-1478-7230-001</t>
  </si>
  <si>
    <t>Specification - HIPPS</t>
  </si>
  <si>
    <t>xxxxx-?-1478-7240-001</t>
  </si>
  <si>
    <t>7299</t>
  </si>
  <si>
    <t>Vendor Document Check - Process Automation Systems</t>
  </si>
  <si>
    <t>Specification - Field Instrument</t>
  </si>
  <si>
    <t>xxxxx-?-1478-7300-001</t>
  </si>
  <si>
    <t>Specification - Pressure instruments</t>
  </si>
  <si>
    <t>xxxxx-?-1478-7310-001</t>
  </si>
  <si>
    <t>Specification - Flow instruments</t>
  </si>
  <si>
    <t>xxxxx-?-1478-7320-001</t>
  </si>
  <si>
    <t>Specification - Level instruments</t>
  </si>
  <si>
    <t>xxxxx-?-1478-7330-001</t>
  </si>
  <si>
    <t>Specification - Temperature instruments</t>
  </si>
  <si>
    <t>xxxxx-?-1478-7340-001</t>
  </si>
  <si>
    <t>Specification - Pressure Gauges</t>
  </si>
  <si>
    <t>xxxxx-?-1478-7350-001</t>
  </si>
  <si>
    <t>Specification - Temperature Gauges</t>
  </si>
  <si>
    <t>xxxxx-?-1478-7360-001</t>
  </si>
  <si>
    <t>Specification - Level Gauges</t>
  </si>
  <si>
    <t>xxxxx-?-1478-7370-001</t>
  </si>
  <si>
    <t>Specification - Flow Sensing Elements</t>
  </si>
  <si>
    <t>xxxxx-?-1478-7380-001</t>
  </si>
  <si>
    <t>Specification - Miscellaneous Instruments</t>
  </si>
  <si>
    <t>xxxxx-?-1478-7390-001</t>
  </si>
  <si>
    <t>Vendor Document Check - Local Instrument</t>
  </si>
  <si>
    <t>7400</t>
  </si>
  <si>
    <t>Specification - Valves</t>
  </si>
  <si>
    <t>xxxxx-?-1478-7400-001</t>
  </si>
  <si>
    <t>Specification - Remote Actuated Valves Valve</t>
  </si>
  <si>
    <t>xxxxx-?-1478-7410-001</t>
  </si>
  <si>
    <t>Specification - Control Valve</t>
  </si>
  <si>
    <t>xxxxx-?-1478-7411-001</t>
  </si>
  <si>
    <t>Specification - Low-Noise Valve</t>
  </si>
  <si>
    <t>xxxxx-?-1478-7412-001</t>
  </si>
  <si>
    <t>Specification - Pneumatic On-Off Valve</t>
  </si>
  <si>
    <t>xxxxx-?-1478-7413-001</t>
  </si>
  <si>
    <t>Specification - Hydraulic On-Off Valve</t>
  </si>
  <si>
    <t>xxxxx-?-1478-7414-001</t>
  </si>
  <si>
    <t>Specification - El. Motor Operated Valve</t>
  </si>
  <si>
    <t>xxxxx-?-1478-7415-001</t>
  </si>
  <si>
    <t>Specification - Actuator</t>
  </si>
  <si>
    <t>xxxxx-?-1478-7416-001</t>
  </si>
  <si>
    <t>Specification - Accumulator</t>
  </si>
  <si>
    <t>xxxxx-?-1478-7417-001</t>
  </si>
  <si>
    <t>Specification - Self Operated Valves</t>
  </si>
  <si>
    <t>xxxxx-?-1478-7420-001</t>
  </si>
  <si>
    <t>Specification - Safety Relief Valves</t>
  </si>
  <si>
    <t>xxxxx-?-1478-7430-001</t>
  </si>
  <si>
    <t>7499</t>
  </si>
  <si>
    <t>Vendor Document Check - Valves</t>
  </si>
  <si>
    <t>7500</t>
  </si>
  <si>
    <t>Specification - Analyser</t>
  </si>
  <si>
    <t>xxxxx-?-1478-7500-001</t>
  </si>
  <si>
    <t>Specification - Safety Analyser</t>
  </si>
  <si>
    <t>xxxxx-?-1478-7510-001</t>
  </si>
  <si>
    <t>Specification - Pollution Analyser</t>
  </si>
  <si>
    <t>xxxxx-?-1478-7520-001</t>
  </si>
  <si>
    <t>Specification - Steam Composition Analyser</t>
  </si>
  <si>
    <t>xxxxx-?-1478-7530-001</t>
  </si>
  <si>
    <t>Specification - Physical Property Analyser - General</t>
  </si>
  <si>
    <t>xxxxx-?-1478-7540-001</t>
  </si>
  <si>
    <t>Specification - Physical Property Analyser - Petroleum</t>
  </si>
  <si>
    <t>xxxxx-?-1478-7550-001</t>
  </si>
  <si>
    <t>Specification - Physical Property Analyser - Chemical</t>
  </si>
  <si>
    <t>xxxxx-?-1478-7560-001</t>
  </si>
  <si>
    <t>Specification - Water Quality Analyser</t>
  </si>
  <si>
    <t>xxxxx-?-1478-7570-001</t>
  </si>
  <si>
    <t>7599</t>
  </si>
  <si>
    <t>Vendor Document Check - Analyser</t>
  </si>
  <si>
    <t>Specification - Radiation Monitor</t>
  </si>
  <si>
    <t>xxxxx-?-1478-7600-001</t>
  </si>
  <si>
    <t>Specification - Process Monitor</t>
  </si>
  <si>
    <t>xxxxx-?-1478-7610-001</t>
  </si>
  <si>
    <t>Specification - Health Physics Monitor</t>
  </si>
  <si>
    <t>xxxxx-?-1478-7620-001</t>
  </si>
  <si>
    <t>Vendor Document Check - Radiation Monitor</t>
  </si>
  <si>
    <t>Specification - Other Instrument based Systems</t>
  </si>
  <si>
    <t>xxxxx-?-1478-7700-001</t>
  </si>
  <si>
    <t>Specification - Rotary Machine</t>
  </si>
  <si>
    <t>xxxxx-?-1478-7710-001</t>
  </si>
  <si>
    <t>Specification - Burner Management System</t>
  </si>
  <si>
    <t>xxxxx-?-1478-7720-001</t>
  </si>
  <si>
    <t>Specification - Loading &amp; Unloading</t>
  </si>
  <si>
    <t>xxxxx-?-1478-7730-001</t>
  </si>
  <si>
    <t>Specification - Jetty &amp; Marine Systems</t>
  </si>
  <si>
    <t>xxxxx-?-1478-7740-001</t>
  </si>
  <si>
    <t>Specification - Pipeline</t>
  </si>
  <si>
    <t>xxxxx-?-1478-7750-001</t>
  </si>
  <si>
    <t>Specification - Meter Prover</t>
  </si>
  <si>
    <t>xxxxx-?-1478-7760-001</t>
  </si>
  <si>
    <t>xxxxx-?-1478-7770-001</t>
  </si>
  <si>
    <t>Specification - Miscellaneous</t>
  </si>
  <si>
    <t>xxxxx-?-1478-7780-001</t>
  </si>
  <si>
    <t>Specification - Wellhead Control System</t>
  </si>
  <si>
    <t>xxxxx-?-1478-7790-001</t>
  </si>
  <si>
    <t>7799</t>
  </si>
  <si>
    <t>Vendor Document Check - Other Instrument based Systems</t>
  </si>
  <si>
    <t>Specification - Installation Materials</t>
  </si>
  <si>
    <t>xxxxx-?-1478-7800-001</t>
  </si>
  <si>
    <t>Specification - Cable Duct / Tray</t>
  </si>
  <si>
    <t>xxxxx-?-1478-7810-001</t>
  </si>
  <si>
    <t>xxxxx-?-1478-7820-001</t>
  </si>
  <si>
    <t>Specification - Air Piping &amp; Tubing</t>
  </si>
  <si>
    <t>xxxxx-?-1478-7830-001</t>
  </si>
  <si>
    <t>Specification - Miscellaneous Material</t>
  </si>
  <si>
    <t>xxxxx-?-1478-7860-001</t>
  </si>
  <si>
    <t>7899</t>
  </si>
  <si>
    <t>Vendor Document Check - Installation Materials</t>
  </si>
  <si>
    <t>7A00</t>
  </si>
  <si>
    <t>Specification - Package Units</t>
  </si>
  <si>
    <t>xxxxx-?-1478-7A00-001</t>
  </si>
  <si>
    <t>7A99</t>
  </si>
  <si>
    <t>Vendor Document Check - Packaged Units</t>
  </si>
  <si>
    <t>Contracts</t>
  </si>
  <si>
    <t>7Z00</t>
  </si>
  <si>
    <t>Construction Specification - Instrument Installation</t>
  </si>
  <si>
    <t>xxxxx-S-1478-7Z00-001</t>
  </si>
  <si>
    <t>7Z99</t>
  </si>
  <si>
    <t>Specification - Instrument D&amp;E Services</t>
  </si>
  <si>
    <t>xxxxx-?-1478-7Z99-001</t>
  </si>
  <si>
    <t>7Z9Z</t>
  </si>
  <si>
    <t>Contractor Document Check - Instrument D&amp;E Services</t>
  </si>
  <si>
    <t>9Z00</t>
  </si>
  <si>
    <t>Construction Specification - Insulation - Instrumentation</t>
  </si>
  <si>
    <t>xxxxx-S-1478-9Z00-001</t>
  </si>
  <si>
    <t>BZ00</t>
  </si>
  <si>
    <t>Construction Specification - Scaffolding - Instrumentation</t>
  </si>
  <si>
    <t>xxxxx-S-1478-BZ00-001</t>
  </si>
  <si>
    <t>ZZ00</t>
  </si>
  <si>
    <t>xxxxx-?-1478-ZZ00-001</t>
  </si>
  <si>
    <t>1479</t>
  </si>
  <si>
    <t>MTO &amp; Estimate</t>
  </si>
  <si>
    <t>Material Take Off - Instrumentation</t>
  </si>
  <si>
    <t>xxxxx-D-1479-7000-001</t>
  </si>
  <si>
    <t>Estimate - Instrumentation</t>
  </si>
  <si>
    <t>xxxxx-G-1479-7001-001</t>
  </si>
  <si>
    <t>147Z</t>
  </si>
  <si>
    <t>As-Built</t>
  </si>
  <si>
    <t>As-Built Package</t>
  </si>
  <si>
    <t>xxxxx-?-147Z-7000-001</t>
  </si>
  <si>
    <t>FEL4</t>
  </si>
  <si>
    <t>WBS_Broke</t>
  </si>
  <si>
    <t>Sub WBS</t>
  </si>
  <si>
    <t>Sub WBS Description</t>
  </si>
  <si>
    <t>Normtype</t>
  </si>
  <si>
    <t>DD</t>
  </si>
  <si>
    <t>SD</t>
  </si>
  <si>
    <t>SE</t>
  </si>
  <si>
    <t>1470-0001</t>
  </si>
  <si>
    <t>(Updated) Activity Control Chart</t>
  </si>
  <si>
    <t>1mh/week</t>
  </si>
  <si>
    <t>(Updated) Manpower Resource Charts</t>
  </si>
  <si>
    <t>1% of total MH</t>
  </si>
  <si>
    <t>1470-0004</t>
  </si>
  <si>
    <t>Meetings, control etc.</t>
  </si>
  <si>
    <t>13% of total MH</t>
  </si>
  <si>
    <t>n.v.t.</t>
  </si>
  <si>
    <t>DEDD (study of project)</t>
  </si>
  <si>
    <t># of el. instr., JB, cab. etc.</t>
  </si>
  <si>
    <t>set-up DEDD (study of project)</t>
  </si>
  <si>
    <t>1471-7001</t>
  </si>
  <si>
    <t>Instrumentation Control Narratives</t>
  </si>
  <si>
    <t># of control tags</t>
  </si>
  <si>
    <t>set-up control narratives</t>
  </si>
  <si>
    <t>1471-7002</t>
  </si>
  <si>
    <t>Instrumentation Safeguarding Narratives</t>
  </si>
  <si>
    <t># of safeguarding tags</t>
  </si>
  <si>
    <t>set-up safety narratives</t>
  </si>
  <si>
    <t>1471-00002</t>
  </si>
  <si>
    <t>Design Basis Report / SOW instr.</t>
  </si>
  <si>
    <t># of instruments</t>
  </si>
  <si>
    <t>set-up basis report / SOW instr.</t>
  </si>
  <si>
    <t>1471-0408</t>
  </si>
  <si>
    <t>SIL classification</t>
  </si>
  <si>
    <t># of safety instruments (sensor + FE)</t>
  </si>
  <si>
    <t>set-up SIL classification</t>
  </si>
  <si>
    <t>1471-5000</t>
  </si>
  <si>
    <t>Review documents other disciplines (Mach)</t>
  </si>
  <si>
    <t># instruments on tanks</t>
  </si>
  <si>
    <t>1471-6000</t>
  </si>
  <si>
    <t>Review documents other disciplines (piping)</t>
  </si>
  <si>
    <t># of in/on-line instruments</t>
  </si>
  <si>
    <t>Review documents other disciplines</t>
  </si>
  <si>
    <t>handling (# of drawings) other disciplines</t>
  </si>
  <si>
    <t>1471-Z000</t>
  </si>
  <si>
    <t>Review documents other disciplines (Civil)</t>
  </si>
  <si>
    <t># of interface with civil</t>
  </si>
  <si>
    <t>1471-Z001</t>
  </si>
  <si>
    <t>Discipline review</t>
  </si>
  <si>
    <t>2,5 % of total MH</t>
  </si>
  <si>
    <t>1471-Z002</t>
  </si>
  <si>
    <t>Review with other disciplines</t>
  </si>
  <si>
    <t>1472-0000</t>
  </si>
  <si>
    <t>P &amp; ID's / UFD's</t>
  </si>
  <si>
    <t>handling (# of drawings) P&amp;Ids/UFDs</t>
  </si>
  <si>
    <t>P &amp; ID's / UFD's (D&amp;R)</t>
  </si>
  <si>
    <t># of instruments (D&amp;R)</t>
  </si>
  <si>
    <t>handling (# of drawings) P&amp;Ids/UFDs (D&amp;R)</t>
  </si>
  <si>
    <t>1472-7102</t>
  </si>
  <si>
    <t>Interlock diagram / matrix</t>
  </si>
  <si>
    <t># of interlock I/O</t>
  </si>
  <si>
    <t>handling (# of drawings) interlock</t>
  </si>
  <si>
    <t>set-up interlock</t>
  </si>
  <si>
    <t>Interlock diagram / matrix (D&amp;R)</t>
  </si>
  <si>
    <t># of interlock I/O (D&amp;R)</t>
  </si>
  <si>
    <t>handling (# of drawings) interlock (D&amp;R)</t>
  </si>
  <si>
    <t>1472-7103</t>
  </si>
  <si>
    <t>Logic diagram</t>
  </si>
  <si>
    <t>handling (# of drawings) logic</t>
  </si>
  <si>
    <t># of logic I/O</t>
  </si>
  <si>
    <t>set-up logic</t>
  </si>
  <si>
    <t>Logic diagram (D&amp;R)</t>
  </si>
  <si>
    <t># of logic I/O (D&amp;R)</t>
  </si>
  <si>
    <t>handling (# of drawings) logic (D&amp;R)</t>
  </si>
  <si>
    <t>1472-7105</t>
  </si>
  <si>
    <t>Schematic/relay diagram</t>
  </si>
  <si>
    <t>handling (# of drawings) schematic/relay diagram</t>
  </si>
  <si>
    <t># of I/O's</t>
  </si>
  <si>
    <t>set-up Schematic/relay diagram</t>
  </si>
  <si>
    <t>Schematic/relay diagram (D&amp;R)</t>
  </si>
  <si>
    <t># of I/O's (D&amp;R)</t>
  </si>
  <si>
    <t>handling (# of drawings) schematic/relay diagram (D&amp;R)</t>
  </si>
  <si>
    <t>1473-7801</t>
  </si>
  <si>
    <t>Instrument power supply diagram</t>
  </si>
  <si>
    <t># of power supply users</t>
  </si>
  <si>
    <t>handling (# of drawings) instrument power supply diagram</t>
  </si>
  <si>
    <t>Instrument power supply diagram (D&amp;R)</t>
  </si>
  <si>
    <t># of power supply users (D&amp;R)</t>
  </si>
  <si>
    <t>handling (# of drawings) instrument power supply diagram (D&amp;R)</t>
  </si>
  <si>
    <t>1472-7801</t>
  </si>
  <si>
    <t>Cable block diagram</t>
  </si>
  <si>
    <t>handling of cable blockdiagrams</t>
  </si>
  <si>
    <t>set-up Cable block diagram</t>
  </si>
  <si>
    <t>Cable block diagram (D&amp;R)</t>
  </si>
  <si>
    <t># of el. instr., JB, cab. etc. (D&amp;R)</t>
  </si>
  <si>
    <t>handling (# of drawings) cable block diagram (D&amp;R)</t>
  </si>
  <si>
    <t>1472-7802</t>
  </si>
  <si>
    <t>Loop diagrams</t>
  </si>
  <si>
    <t># of terminals loop diagrams</t>
  </si>
  <si>
    <t>handling (# of loops/el.instr.)</t>
  </si>
  <si>
    <t># of INtools blocks</t>
  </si>
  <si>
    <t># of INtools instrument profiles</t>
  </si>
  <si>
    <t>set-up (# of typicals) Loop diagrams</t>
  </si>
  <si>
    <t># of INtools typical loops</t>
  </si>
  <si>
    <t>Loop diagrams (D&amp;R)</t>
  </si>
  <si>
    <t>handling (# of loops/el.instr.) Loop diagrams (D&amp;R)</t>
  </si>
  <si>
    <t>147Z-7000</t>
  </si>
  <si>
    <t>As-builts</t>
  </si>
  <si>
    <t># of as-builts diagrams (sheets)</t>
  </si>
  <si>
    <t>1473-7000</t>
  </si>
  <si>
    <t>Instrument list</t>
  </si>
  <si>
    <t>handling instrument list</t>
  </si>
  <si>
    <t>set-up Instrument list</t>
  </si>
  <si>
    <t>Instrument list (D&amp;R)</t>
  </si>
  <si>
    <t>handling instrument list (D&amp;R)</t>
  </si>
  <si>
    <t>set-up Instrument list (D&amp;R)</t>
  </si>
  <si>
    <t>1478-7001</t>
  </si>
  <si>
    <t>Instrument Data Sheets</t>
  </si>
  <si>
    <t>handling (# of documents) instrument data sheets</t>
  </si>
  <si>
    <t>set-up instrument data sheet</t>
  </si>
  <si>
    <t>Instrument cable list (electrical new)</t>
  </si>
  <si>
    <t># of cables</t>
  </si>
  <si>
    <t>handling (# of documents) Instrument cable list</t>
  </si>
  <si>
    <t>set-up Instrument cable list</t>
  </si>
  <si>
    <t>Instrument cable list (electrical D&amp;R)</t>
  </si>
  <si>
    <t># of cables (D&amp;R)</t>
  </si>
  <si>
    <t>handling instrument cable list (D&amp;R)</t>
  </si>
  <si>
    <t>Instrument drum list</t>
  </si>
  <si>
    <t>handling (# of documents) Instrument drum list</t>
  </si>
  <si>
    <t>set-up Instrument drum list</t>
  </si>
  <si>
    <t>1472-7803</t>
  </si>
  <si>
    <t>Connection list JBs</t>
  </si>
  <si>
    <t># of terminals JBs</t>
  </si>
  <si>
    <t>handling (# of documents/JB's) Connection list JBs</t>
  </si>
  <si>
    <t>set-up (JB's) Connection list JBs</t>
  </si>
  <si>
    <t>Connection list JBs (D&amp;R)</t>
  </si>
  <si>
    <t># of terminals JBs (D&amp;R)</t>
  </si>
  <si>
    <t>handling (# documents/JBs) connection list JBs (D&amp;R)</t>
  </si>
  <si>
    <t>Connection list marshalling cabinet (field)</t>
  </si>
  <si>
    <t># of terminals marshalling cabinet (field)</t>
  </si>
  <si>
    <t>handling (# of documents/term.rows) connection list marshalling cabinet (field)</t>
  </si>
  <si>
    <t>set-up (term. rows) Connection list marshalling cabinet (field)</t>
  </si>
  <si>
    <t>Connection list marshalling cabinet (field) (D&amp;R)</t>
  </si>
  <si>
    <t># of terminals marshalling cabinet (field) (D&amp;R)</t>
  </si>
  <si>
    <t>handling (# of documents/term.rows) connection list marshalling cabinet (field) (D&amp;R)</t>
  </si>
  <si>
    <t>Connection list marshalling cabinet (marsh.)</t>
  </si>
  <si>
    <t># of terminals marshalling cabinet (marsh.)</t>
  </si>
  <si>
    <t>handling (# of documents/term. rows) Connection list marshalling cabinet (marsh.)</t>
  </si>
  <si>
    <t>set-up (term.rows) Connection list marshalling cabinet (marsh.)</t>
  </si>
  <si>
    <t>Connection list marshalling cabinet (marsh.) (D&amp;R)</t>
  </si>
  <si>
    <t># of terminals marshalling cabinet (marsh.) (D&amp;R)</t>
  </si>
  <si>
    <t>handling (# documents/term. rows) connection list marshalling cabinet (marsh.) (D&amp;R)</t>
  </si>
  <si>
    <t>Connection list aux./relay/ann./desk.</t>
  </si>
  <si>
    <t># of terminals aux./relay/ann.</t>
  </si>
  <si>
    <t>handling (# of documents/term. rows) Connection list aux./relay/ann./desk.</t>
  </si>
  <si>
    <t>set-up (term.rows) Connection list aux./relay/ann./desk.</t>
  </si>
  <si>
    <t>Connection list aux./relay/ann./desk. (D&amp;R)</t>
  </si>
  <si>
    <t># of terminals aux./relay/ann./desk. (D&amp;R)</t>
  </si>
  <si>
    <t>handling (#documents/term.rows) connection list aux./relay/ann./desk. (D&amp;R)</t>
  </si>
  <si>
    <t>1473-7802</t>
  </si>
  <si>
    <t>Instrument air distribution</t>
  </si>
  <si>
    <t># of instrument air users</t>
  </si>
  <si>
    <t>handling (# of documents) Instrument air distribution</t>
  </si>
  <si>
    <t>set-up (term.rows) Instrument air distribution</t>
  </si>
  <si>
    <t>1473-7101</t>
  </si>
  <si>
    <t>I/O allocation list</t>
  </si>
  <si>
    <t># of el. instruments</t>
  </si>
  <si>
    <t>handling I/O allocation list</t>
  </si>
  <si>
    <t>set-up I/O allocation list</t>
  </si>
  <si>
    <t>1473-7102</t>
  </si>
  <si>
    <t>Alarm trip and setting list</t>
  </si>
  <si>
    <t># of alarm/trip points</t>
  </si>
  <si>
    <t>handling (# of documents) Alarm trip and setting list</t>
  </si>
  <si>
    <t>set-up Alarm trip and setting list</t>
  </si>
  <si>
    <t>1473-7803</t>
  </si>
  <si>
    <t>Instrument name plates</t>
  </si>
  <si>
    <t>set-up Instrument name plates</t>
  </si>
  <si>
    <t>1478-7299</t>
  </si>
  <si>
    <t>Tie-in dimensions</t>
  </si>
  <si>
    <t># of in-line instruments</t>
  </si>
  <si>
    <t>set-up Tie-in dimensions</t>
  </si>
  <si>
    <t># of as-builts schedules &amp; lists (sheets)</t>
  </si>
  <si>
    <t>Cable size</t>
  </si>
  <si>
    <t># of power cables</t>
  </si>
  <si>
    <t>set-up cable size calculation</t>
  </si>
  <si>
    <t>Cable way</t>
  </si>
  <si>
    <t># of cables (total)</t>
  </si>
  <si>
    <t>set-up cable way calculation</t>
  </si>
  <si>
    <t>1474-7001</t>
  </si>
  <si>
    <t>Intrinsic safe</t>
  </si>
  <si>
    <t># of IS instruments</t>
  </si>
  <si>
    <t># of IS typicals</t>
  </si>
  <si>
    <t>set-up intrinsic safe calculation</t>
  </si>
  <si>
    <t>1474-7320</t>
  </si>
  <si>
    <t>Flow</t>
  </si>
  <si>
    <t># of flow instruments</t>
  </si>
  <si>
    <t># of flow sensing elements</t>
  </si>
  <si>
    <t>set-up flow calculation</t>
  </si>
  <si>
    <t>1474-7330</t>
  </si>
  <si>
    <t>Level</t>
  </si>
  <si>
    <t># of dP level instruments</t>
  </si>
  <si>
    <t>set-up level calculation</t>
  </si>
  <si>
    <t>1474-7410</t>
  </si>
  <si>
    <t>Control Valve</t>
  </si>
  <si>
    <t># of control valves</t>
  </si>
  <si>
    <t>set-up control valve calculation</t>
  </si>
  <si>
    <t>Safety Relief Valve</t>
  </si>
  <si>
    <t># of safety relief valves</t>
  </si>
  <si>
    <t># of breather valves</t>
  </si>
  <si>
    <t>set-up safety relief valve calculation</t>
  </si>
  <si>
    <t>SIL calculation</t>
  </si>
  <si>
    <t>set-up SIL calculation</t>
  </si>
  <si>
    <t>1476-7300</t>
  </si>
  <si>
    <t>Instrument layout</t>
  </si>
  <si>
    <t># of instruments, JBs etc.</t>
  </si>
  <si>
    <t>handling (# of layouts) instrument layout</t>
  </si>
  <si>
    <t>set-up (# of layouts) Instrument layout</t>
  </si>
  <si>
    <t>Instrument layout (D&amp;R)</t>
  </si>
  <si>
    <t># of instruments, JBs etc. (D&amp;R)</t>
  </si>
  <si>
    <t>handling (# of layouts) instrument layout (D&amp;R)</t>
  </si>
  <si>
    <t>1476-Z000</t>
  </si>
  <si>
    <t>Instrument grounding layout</t>
  </si>
  <si>
    <t># of grounding points (plant)</t>
  </si>
  <si>
    <t>handling (# of layouts) instrument grounding layout</t>
  </si>
  <si>
    <t>set-up (# of layouts) Instrument grounding layout</t>
  </si>
  <si>
    <t>1476-7810</t>
  </si>
  <si>
    <t>Main Instrument Cable Way</t>
  </si>
  <si>
    <t>handling (# of layouts) cable way</t>
  </si>
  <si>
    <t>set-up (# of layouts)</t>
  </si>
  <si>
    <t># of (branch)trays in field</t>
  </si>
  <si>
    <t>1476-7820</t>
  </si>
  <si>
    <t>Main instrument cable routing layout</t>
  </si>
  <si>
    <t># of main cables</t>
  </si>
  <si>
    <t>handling (# of layouts) main instrument cable routing layout</t>
  </si>
  <si>
    <t>set-up (# of layouts) Main instrument cable routing layout</t>
  </si>
  <si>
    <t>Field instrument cable routing layout</t>
  </si>
  <si>
    <t># of branch cables</t>
  </si>
  <si>
    <t>handling (# of layouts) field instrument cable routing layout</t>
  </si>
  <si>
    <t>set-up (# of layouts) Field instrument cable routing layout</t>
  </si>
  <si>
    <t>Instrument Process Piping &amp; Tracing Layout</t>
  </si>
  <si>
    <t># of instruments with process connection</t>
  </si>
  <si>
    <t>handling (# of layouts) process piping &amp; tracing layout</t>
  </si>
  <si>
    <t>set-up (# of layouts) process piping &amp; tracing layout</t>
  </si>
  <si>
    <t>1476-7840</t>
  </si>
  <si>
    <t>Air Piping &amp; Tubing Layout</t>
  </si>
  <si>
    <t># of pn. instruments/users</t>
  </si>
  <si>
    <t>handling (# of layouts) air piping &amp; tubing layout</t>
  </si>
  <si>
    <t>set-up (# of layouts) air piping &amp; tubing layout</t>
  </si>
  <si>
    <t>1476-7000</t>
  </si>
  <si>
    <t>Central control room layout</t>
  </si>
  <si>
    <t>handling (# of layouts) Central control room layout</t>
  </si>
  <si>
    <t>set-up (# of layouts) Central control room layout</t>
  </si>
  <si>
    <t># of panels Central control room</t>
  </si>
  <si>
    <t>Central control room layout (D&amp;R)</t>
  </si>
  <si>
    <t>handling (# of layouts) Central control room layout (D&amp;R)</t>
  </si>
  <si>
    <t># of panels Central control room (D&amp;R)</t>
  </si>
  <si>
    <t>Electrical control room layout</t>
  </si>
  <si>
    <t>handling (# of layouts) Electrical control room layout</t>
  </si>
  <si>
    <t># of panels Electrical control room</t>
  </si>
  <si>
    <t>set-up (# of layouts) Electrical control room layout</t>
  </si>
  <si>
    <t>Electrical control room layout (D&amp;R)</t>
  </si>
  <si>
    <t>handling (# of layouts) Electrical control room layout (D&amp;R)</t>
  </si>
  <si>
    <t># of panels Electrical control room (D&amp;R)</t>
  </si>
  <si>
    <t>Instrument cable duct/tray layout CCR/ECR</t>
  </si>
  <si>
    <t>handling (# of layouts) Instrument cable duct/tray layout CCR/ECR</t>
  </si>
  <si>
    <t>set-up (# of layouts) Instrument cable duct/tray layout CCR/ECR</t>
  </si>
  <si>
    <t># of (branch)trays in CCR/ECR</t>
  </si>
  <si>
    <t>Instrument cable layout CCR/ECR</t>
  </si>
  <si>
    <t># of cables in CCR/ECR</t>
  </si>
  <si>
    <t>handling (# of layouts) Instrument cable layout CCR/ECR</t>
  </si>
  <si>
    <t>set-up (# of layouts) Instrument cable layout CCR/ECR</t>
  </si>
  <si>
    <t>Grounding layout CCR/ECR</t>
  </si>
  <si>
    <t># of grounding points (CCR/ECR)</t>
  </si>
  <si>
    <t>handling (# of layouts) Grounding layout CCR/ECR</t>
  </si>
  <si>
    <t>set-up (# of layouts) Grounding layout CCR/ECR</t>
  </si>
  <si>
    <t>Cabinet arrangements</t>
  </si>
  <si>
    <t># of sw,lamps etc. in cabinet</t>
  </si>
  <si>
    <t>handling (# of cabinets) Cabinet arrangements</t>
  </si>
  <si>
    <t>set-up (# of cabinets) Cabinet arrangements</t>
  </si>
  <si>
    <t>Cabinet arrangements (D&amp;R)</t>
  </si>
  <si>
    <t># of sw,lamps etc. in cabinet (D&amp;R)</t>
  </si>
  <si>
    <t>handling (# documents) cabinet arrangements (D&amp;R)</t>
  </si>
  <si>
    <t># as-builts layouts (sheets)</t>
  </si>
  <si>
    <t>1477-7830</t>
  </si>
  <si>
    <t>Instrument process hook-ups</t>
  </si>
  <si>
    <t>set-up (# of typicals) Instrument process hook-ups</t>
  </si>
  <si>
    <t>1477-7840</t>
  </si>
  <si>
    <t>Pneumatic air hook-ups</t>
  </si>
  <si>
    <t>set-up (# of typicals) Pneumatic air hook-ups</t>
  </si>
  <si>
    <t>1477-7820</t>
  </si>
  <si>
    <t>Electrical hook-ups</t>
  </si>
  <si>
    <t>set-up (# of typicals) Electrical hook-ups</t>
  </si>
  <si>
    <t>1478-7000</t>
  </si>
  <si>
    <t>General Specification</t>
  </si>
  <si>
    <t>general specification (for package units)</t>
  </si>
  <si>
    <t># package units</t>
  </si>
  <si>
    <t># instruments on package units</t>
  </si>
  <si>
    <t>1478-7100</t>
  </si>
  <si>
    <t>Auxiliary panel - Requisition</t>
  </si>
  <si>
    <t># of requisitions PLC cards</t>
  </si>
  <si>
    <t># of requisitions auxiliary panel</t>
  </si>
  <si>
    <t># of PLC extensions</t>
  </si>
  <si>
    <t>1478-7200</t>
  </si>
  <si>
    <t>Marshalling cabinet - Requisition</t>
  </si>
  <si>
    <t># of requisitions marshalling cabinet</t>
  </si>
  <si>
    <t>1478-7110</t>
  </si>
  <si>
    <t>Power distribution panel - Requisition</t>
  </si>
  <si>
    <t># of requisitions power distribution panel</t>
  </si>
  <si>
    <t>1478-7140</t>
  </si>
  <si>
    <t>DCS - Requisition</t>
  </si>
  <si>
    <t># of DCS cards</t>
  </si>
  <si>
    <t># of requisitions DCS cards</t>
  </si>
  <si>
    <t># of DCS extensions (eg HPM)</t>
  </si>
  <si>
    <t># of requisitions DCS</t>
  </si>
  <si>
    <t>Board instrument - Requisition</t>
  </si>
  <si>
    <t># of board instruments</t>
  </si>
  <si>
    <t># of requisitions board instruments</t>
  </si>
  <si>
    <t>1478-7210</t>
  </si>
  <si>
    <t>System Integrety System - Requisition</t>
  </si>
  <si>
    <t># of ESD cards</t>
  </si>
  <si>
    <t># of requisitions ESD cards</t>
  </si>
  <si>
    <t># of ESD extensions</t>
  </si>
  <si>
    <t># of requisitions Safety Integrety Systems</t>
  </si>
  <si>
    <t>1478-7220</t>
  </si>
  <si>
    <t>PLC equipment - Requisition</t>
  </si>
  <si>
    <t># of PLC cards</t>
  </si>
  <si>
    <t># of requisitions PLC extensions</t>
  </si>
  <si>
    <t># of requisitions PLC</t>
  </si>
  <si>
    <t>1478-7310</t>
  </si>
  <si>
    <t>Pressure instruments - Requisition</t>
  </si>
  <si>
    <t># of pressure instruments</t>
  </si>
  <si>
    <t># of requisitions pressure instruments</t>
  </si>
  <si>
    <t>1478-7320</t>
  </si>
  <si>
    <t>Flow instruments - Requisition</t>
  </si>
  <si>
    <t># of requisitions flow instruments</t>
  </si>
  <si>
    <t>1478-7330</t>
  </si>
  <si>
    <t>Level instruments - Requisition</t>
  </si>
  <si>
    <t># of level instruments</t>
  </si>
  <si>
    <t># of requisitions level instruments</t>
  </si>
  <si>
    <t>1478-7340</t>
  </si>
  <si>
    <t>Temperature instrument - Requisition</t>
  </si>
  <si>
    <t># of temperature instruments</t>
  </si>
  <si>
    <t># of requisitions temperature instruments</t>
  </si>
  <si>
    <t>1478-7350</t>
  </si>
  <si>
    <t>Gauges - Requisition</t>
  </si>
  <si>
    <t># of gauges</t>
  </si>
  <si>
    <t># of requisitions gauges</t>
  </si>
  <si>
    <t>1478-7380</t>
  </si>
  <si>
    <t>Flow sensing elements - Requisition</t>
  </si>
  <si>
    <t># of requisitions flow sensing elements</t>
  </si>
  <si>
    <t>1478-7120</t>
  </si>
  <si>
    <t>Auxiliary instruments - Requisition</t>
  </si>
  <si>
    <t># of auxiliary instruments</t>
  </si>
  <si>
    <t># of miscellaneous instruments</t>
  </si>
  <si>
    <t># of requisitions auxiliary instruments</t>
  </si>
  <si>
    <t>1478-7390</t>
  </si>
  <si>
    <t>Miscellaneous instruments - Requisition</t>
  </si>
  <si>
    <t># of requisitions miscellaneous instruments</t>
  </si>
  <si>
    <t>1478-7411</t>
  </si>
  <si>
    <t>Control valves - Requisition</t>
  </si>
  <si>
    <t># of requisitions control valves</t>
  </si>
  <si>
    <t>1478-7413</t>
  </si>
  <si>
    <t>On/off valves - Requisition</t>
  </si>
  <si>
    <t># of on/off valves</t>
  </si>
  <si>
    <t># of requisitions on/off valves</t>
  </si>
  <si>
    <t>1478-7420</t>
  </si>
  <si>
    <t>Regulators - Requisition</t>
  </si>
  <si>
    <t># of regulators</t>
  </si>
  <si>
    <t># of requisitions regulators</t>
  </si>
  <si>
    <t>1478-7230</t>
  </si>
  <si>
    <t>Gas detection system - Requisition</t>
  </si>
  <si>
    <t># of gas detection instruments</t>
  </si>
  <si>
    <t># of requisitions gas detection system</t>
  </si>
  <si>
    <t>Gas analyser - Requisition</t>
  </si>
  <si>
    <t># of requisitions gas analyer</t>
  </si>
  <si>
    <t>1478-7570</t>
  </si>
  <si>
    <t>Liquid analyser - Requisition</t>
  </si>
  <si>
    <t># of pH (or equal) analysers</t>
  </si>
  <si>
    <t># of requisitions pH (or equal) analsyer</t>
  </si>
  <si>
    <t>1478-7500</t>
  </si>
  <si>
    <t>Sample systems - Requisition</t>
  </si>
  <si>
    <t># of requisitions sample system</t>
  </si>
  <si>
    <t>1478-7Z00</t>
  </si>
  <si>
    <t>Instrument installation - Requisition</t>
  </si>
  <si>
    <t>set-up subcontract requisition</t>
  </si>
  <si>
    <t>1478-7Z99</t>
  </si>
  <si>
    <t>Instrument erection Scope of Work package</t>
  </si>
  <si>
    <t># of instruments (new &amp; D&amp;R)</t>
  </si>
  <si>
    <t>set-up Instrument erection SOW</t>
  </si>
  <si>
    <t>1478-7Z9Z</t>
  </si>
  <si>
    <t>Instrument installation constr. Questions</t>
  </si>
  <si>
    <t>2,5% of total MH</t>
  </si>
  <si>
    <t>ROM Cost Estimate (+/- 25%)</t>
  </si>
  <si>
    <t>set-up ROM cost control estimate</t>
  </si>
  <si>
    <t>Definitive Cost Estimate (+/- 10%)</t>
  </si>
  <si>
    <t>set-up cost control estimate (10%)</t>
  </si>
  <si>
    <t>Check Estimate ('Tegenbegroting S/C's)</t>
  </si>
  <si>
    <t>set-up check estimate (tegenbegroting)</t>
  </si>
  <si>
    <t>Project No.</t>
  </si>
  <si>
    <t>: DE-</t>
  </si>
  <si>
    <t>Document No.</t>
  </si>
  <si>
    <t>: G-52705-001</t>
  </si>
  <si>
    <t>Revision</t>
  </si>
  <si>
    <t>: 0</t>
  </si>
  <si>
    <t>DISMANTLE &amp; REMOVE</t>
  </si>
  <si>
    <t># of instr.</t>
  </si>
  <si>
    <t># of local</t>
  </si>
  <si>
    <t># of electr.</t>
  </si>
  <si>
    <t># of loops</t>
  </si>
  <si>
    <t>instr.</t>
  </si>
  <si>
    <t>Control board</t>
  </si>
  <si>
    <t>Auxiliary panel</t>
  </si>
  <si>
    <t>Marshalling cabinet</t>
  </si>
  <si>
    <t>Instrument power panel</t>
  </si>
  <si>
    <t>DCS</t>
  </si>
  <si>
    <t>Board instruments</t>
  </si>
  <si>
    <t>SIS</t>
  </si>
  <si>
    <t>PLC</t>
  </si>
  <si>
    <t>Pressure instruments</t>
  </si>
  <si>
    <t>Pressure transmitter</t>
  </si>
  <si>
    <t>Diff. pressure transmitter</t>
  </si>
  <si>
    <t>Pressure switch</t>
  </si>
  <si>
    <t>Flow instruments</t>
  </si>
  <si>
    <t>Diff. press. flow transmitter</t>
  </si>
  <si>
    <t>VA-meter</t>
  </si>
  <si>
    <t>Magnetic flowmeter</t>
  </si>
  <si>
    <t>Turbine meter</t>
  </si>
  <si>
    <t>PD-meter</t>
  </si>
  <si>
    <t>Flowswitch</t>
  </si>
  <si>
    <t>Vortex meter</t>
  </si>
  <si>
    <t>Massflow meter</t>
  </si>
  <si>
    <t>Level instruments</t>
  </si>
  <si>
    <t>Diff. press. level transmitter</t>
  </si>
  <si>
    <t>Capacitance level instrument</t>
  </si>
  <si>
    <t>Level switch</t>
  </si>
  <si>
    <t>Ultrasonic level meter</t>
  </si>
  <si>
    <t>Radar level meter</t>
  </si>
  <si>
    <t>Weight level meter</t>
  </si>
  <si>
    <t>Temperature instruments</t>
  </si>
  <si>
    <t>Thermocouple &amp; well</t>
  </si>
  <si>
    <t>RTD bulb &amp; well</t>
  </si>
  <si>
    <t>Temperature switch &amp; well</t>
  </si>
  <si>
    <t>Gauges</t>
  </si>
  <si>
    <t>Pressure gauge</t>
  </si>
  <si>
    <t>Temperature gauge</t>
  </si>
  <si>
    <t>Level gauge</t>
  </si>
  <si>
    <t>Flow sensing element</t>
  </si>
  <si>
    <t>Orifice plate</t>
  </si>
  <si>
    <t>Auxiliary instrument</t>
  </si>
  <si>
    <t>I/P-convertor</t>
  </si>
  <si>
    <t>Miscellaneous instrument</t>
  </si>
  <si>
    <t>Valves</t>
  </si>
  <si>
    <t>Control valve</t>
  </si>
  <si>
    <t>On/off valve</t>
  </si>
  <si>
    <t>Pressure regulator</t>
  </si>
  <si>
    <t>Gas blanket system</t>
  </si>
  <si>
    <t>Safety relief valve</t>
  </si>
  <si>
    <t>Rupture disk</t>
  </si>
  <si>
    <t>Breather valve</t>
  </si>
  <si>
    <t>Analyser</t>
  </si>
  <si>
    <t>Gas detector</t>
  </si>
  <si>
    <t>Gas analyser</t>
  </si>
  <si>
    <t>IR analyser</t>
  </si>
  <si>
    <t>Thermal conductivity an.</t>
  </si>
  <si>
    <t>FID analyser</t>
  </si>
  <si>
    <t>GLC</t>
  </si>
  <si>
    <t>Oxygen analyser</t>
  </si>
  <si>
    <t>Liquid analyser</t>
  </si>
  <si>
    <t>pH-meter</t>
  </si>
  <si>
    <t>Conductivity analyser</t>
  </si>
  <si>
    <t>Sample system</t>
  </si>
  <si>
    <t>MCC</t>
  </si>
  <si>
    <t>running</t>
  </si>
  <si>
    <t>thermic failure</t>
  </si>
  <si>
    <t>start/stop</t>
  </si>
  <si>
    <t>analog</t>
  </si>
  <si>
    <t># of local instruments</t>
  </si>
  <si>
    <t># of layouts</t>
  </si>
  <si>
    <t># of electrical instruments</t>
  </si>
  <si>
    <t># of JBs</t>
  </si>
  <si>
    <t>PT</t>
  </si>
  <si>
    <t>PDT</t>
  </si>
  <si>
    <t>PS</t>
  </si>
  <si>
    <t>FDT</t>
  </si>
  <si>
    <t>FT</t>
  </si>
  <si>
    <t>FS</t>
  </si>
  <si>
    <t>LDT</t>
  </si>
  <si>
    <t>LT</t>
  </si>
  <si>
    <t>LS</t>
  </si>
  <si>
    <t>TW</t>
  </si>
  <si>
    <t>TS</t>
  </si>
  <si>
    <t>PG</t>
  </si>
  <si>
    <t>TG</t>
  </si>
  <si>
    <t>LG</t>
  </si>
  <si>
    <t>*CV</t>
  </si>
  <si>
    <t>UZV</t>
  </si>
  <si>
    <t>PRV</t>
  </si>
  <si>
    <t>Code</t>
  </si>
  <si>
    <t>Instrument Type</t>
  </si>
  <si>
    <t>Count</t>
  </si>
  <si>
    <t># of local instr.</t>
  </si>
  <si>
    <t># of electr. Instr.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</si>
</sst>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9"/>
      <name val="Verdana"/>
      <family val="2"/>
    </font>
    <font>
      <strike/>
      <sz val="9"/>
      <name val="Verdana"/>
      <family val="2"/>
    </font>
    <font>
      <sz val="9"/>
      <color rgb="FFFFFFFF"/>
      <name val="Verdana"/>
      <family val="2"/>
    </font>
    <font>
      <b/>
      <sz val="9"/>
      <name val="Verdana"/>
      <family val="2"/>
    </font>
    <font>
      <sz val="11"/>
      <name val="ＭＳ Ｐゴシック"/>
      <charset val="128"/>
    </font>
    <font>
      <b/>
      <i/>
      <sz val="9"/>
      <name val="Verdana"/>
      <family val="2"/>
    </font>
    <font>
      <sz val="7"/>
      <name val="Verdana"/>
      <family val="2"/>
    </font>
    <font>
      <sz val="9"/>
      <color rgb="FF0070C0"/>
      <name val="Verdana"/>
      <family val="2"/>
    </font>
    <font>
      <i/>
      <sz val="9"/>
      <name val="Verdana"/>
      <family val="2"/>
    </font>
    <font>
      <i/>
      <sz val="9"/>
      <color rgb="FF0070C0"/>
      <name val="Verdana"/>
      <family val="2"/>
    </font>
    <font>
      <b/>
      <sz val="9"/>
      <color rgb="FFFFFFFF"/>
      <name val="Verdana"/>
      <family val="2"/>
    </font>
    <font>
      <b/>
      <sz val="10"/>
      <color rgb="FFFFFFFF"/>
      <name val="Arial"/>
      <family val="2"/>
    </font>
    <font>
      <b/>
      <sz val="10"/>
      <color rgb="FFFFFFFF"/>
      <name val="Arial"/>
    </font>
    <font>
      <sz val="10"/>
      <color rgb="FF000000"/>
      <name val="Arial"/>
    </font>
    <font>
      <sz val="10"/>
      <color rgb="FF000000"/>
      <name val="Arial"/>
      <family val="2"/>
    </font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A6E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79646"/>
        <bgColor rgb="FFF79646"/>
      </patternFill>
    </fill>
    <fill>
      <patternFill patternType="solid">
        <fgColor rgb="FFFDE9D9"/>
        <bgColor rgb="FFFDE9D9"/>
      </patternFill>
    </fill>
    <fill>
      <patternFill patternType="solid">
        <fgColor rgb="FFFF8080"/>
        <bgColor rgb="FF000000"/>
      </patternFill>
    </fill>
    <fill>
      <patternFill patternType="solid">
        <fgColor rgb="FFFFFF00"/>
        <bgColor rgb="FF000000"/>
      </patternFill>
    </fill>
  </fills>
  <borders count="28">
    <border>
      <left/>
      <right/>
      <top/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7" fillId="0" borderId="0"/>
    <xf numFmtId="0" fontId="2" fillId="0" borderId="0"/>
  </cellStyleXfs>
  <cellXfs count="148">
    <xf numFmtId="0" fontId="0" fillId="0" borderId="0" xfId="0"/>
    <xf numFmtId="0" fontId="3" fillId="0" borderId="3" xfId="1" applyNumberFormat="1" applyFont="1" applyFill="1" applyBorder="1" applyAlignment="1">
      <alignment horizontal="center" vertical="center" wrapText="1"/>
    </xf>
    <xf numFmtId="0" fontId="3" fillId="0" borderId="0" xfId="0" applyFont="1" applyFill="1"/>
    <xf numFmtId="0" fontId="3" fillId="0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 textRotation="90" wrapText="1"/>
    </xf>
    <xf numFmtId="0" fontId="3" fillId="0" borderId="4" xfId="0" applyFont="1" applyFill="1" applyBorder="1" applyAlignment="1">
      <alignment horizontal="center" vertical="center" textRotation="90"/>
    </xf>
    <xf numFmtId="0" fontId="5" fillId="2" borderId="16" xfId="1" applyNumberFormat="1" applyFont="1" applyFill="1" applyBorder="1" applyAlignment="1">
      <alignment horizontal="center" vertical="top"/>
    </xf>
    <xf numFmtId="0" fontId="5" fillId="2" borderId="17" xfId="1" applyNumberFormat="1" applyFont="1" applyFill="1" applyBorder="1" applyAlignment="1">
      <alignment horizontal="center" vertical="top"/>
    </xf>
    <xf numFmtId="0" fontId="5" fillId="2" borderId="18" xfId="1" applyNumberFormat="1" applyFont="1" applyFill="1" applyBorder="1" applyAlignment="1">
      <alignment horizontal="center" vertical="top"/>
    </xf>
    <xf numFmtId="0" fontId="5" fillId="2" borderId="8" xfId="0" applyFont="1" applyFill="1" applyBorder="1" applyAlignment="1">
      <alignment vertical="top"/>
    </xf>
    <xf numFmtId="0" fontId="3" fillId="2" borderId="9" xfId="0" applyFont="1" applyFill="1" applyBorder="1" applyAlignment="1">
      <alignment vertical="top"/>
    </xf>
    <xf numFmtId="0" fontId="5" fillId="2" borderId="4" xfId="0" applyFont="1" applyFill="1" applyBorder="1" applyAlignment="1">
      <alignment horizontal="center" vertical="top"/>
    </xf>
    <xf numFmtId="0" fontId="5" fillId="2" borderId="4" xfId="0" applyFont="1" applyFill="1" applyBorder="1" applyAlignment="1">
      <alignment vertical="top"/>
    </xf>
    <xf numFmtId="0" fontId="5" fillId="2" borderId="4" xfId="0" applyFont="1" applyFill="1" applyBorder="1" applyAlignment="1">
      <alignment horizontal="left" vertical="top"/>
    </xf>
    <xf numFmtId="0" fontId="6" fillId="0" borderId="16" xfId="1" applyNumberFormat="1" applyFont="1" applyFill="1" applyBorder="1" applyAlignment="1">
      <alignment horizontal="center" vertical="top"/>
    </xf>
    <xf numFmtId="0" fontId="6" fillId="0" borderId="17" xfId="1" applyNumberFormat="1" applyFont="1" applyFill="1" applyBorder="1" applyAlignment="1">
      <alignment horizontal="center" vertical="top"/>
    </xf>
    <xf numFmtId="0" fontId="6" fillId="0" borderId="18" xfId="1" applyNumberFormat="1" applyFont="1" applyFill="1" applyBorder="1" applyAlignment="1">
      <alignment horizontal="center" vertical="top"/>
    </xf>
    <xf numFmtId="0" fontId="3" fillId="0" borderId="4" xfId="0" applyFont="1" applyFill="1" applyBorder="1" applyAlignment="1">
      <alignment horizontal="center" vertical="top"/>
    </xf>
    <xf numFmtId="0" fontId="3" fillId="0" borderId="16" xfId="1" quotePrefix="1" applyNumberFormat="1" applyFont="1" applyFill="1" applyBorder="1" applyAlignment="1">
      <alignment horizontal="center" vertical="top"/>
    </xf>
    <xf numFmtId="0" fontId="3" fillId="0" borderId="17" xfId="1" quotePrefix="1" applyNumberFormat="1" applyFont="1" applyFill="1" applyBorder="1" applyAlignment="1">
      <alignment horizontal="center" vertical="top"/>
    </xf>
    <xf numFmtId="0" fontId="3" fillId="0" borderId="18" xfId="1" quotePrefix="1" applyNumberFormat="1" applyFont="1" applyFill="1" applyBorder="1" applyAlignment="1">
      <alignment horizontal="center" vertical="top"/>
    </xf>
    <xf numFmtId="0" fontId="3" fillId="0" borderId="4" xfId="0" applyFont="1" applyFill="1" applyBorder="1" applyAlignment="1">
      <alignment horizontal="left" vertical="top"/>
    </xf>
    <xf numFmtId="0" fontId="3" fillId="0" borderId="4" xfId="0" applyFont="1" applyFill="1" applyBorder="1" applyAlignment="1">
      <alignment vertical="top"/>
    </xf>
    <xf numFmtId="0" fontId="3" fillId="0" borderId="0" xfId="0" applyFont="1" applyFill="1" applyAlignment="1">
      <alignment vertical="top"/>
    </xf>
    <xf numFmtId="0" fontId="3" fillId="0" borderId="8" xfId="0" applyFont="1" applyFill="1" applyBorder="1" applyAlignment="1">
      <alignment vertical="top"/>
    </xf>
    <xf numFmtId="0" fontId="3" fillId="0" borderId="9" xfId="0" applyFont="1" applyFill="1" applyBorder="1" applyAlignment="1">
      <alignment vertical="top"/>
    </xf>
    <xf numFmtId="0" fontId="3" fillId="0" borderId="18" xfId="1" applyNumberFormat="1" applyFont="1" applyFill="1" applyBorder="1" applyAlignment="1">
      <alignment horizontal="center" vertical="top"/>
    </xf>
    <xf numFmtId="0" fontId="3" fillId="0" borderId="8" xfId="2" applyFont="1" applyFill="1" applyBorder="1" applyAlignment="1">
      <alignment horizontal="left" vertical="top"/>
    </xf>
    <xf numFmtId="0" fontId="3" fillId="0" borderId="9" xfId="2" applyFont="1" applyFill="1" applyBorder="1" applyAlignment="1">
      <alignment horizontal="left" vertical="top"/>
    </xf>
    <xf numFmtId="0" fontId="3" fillId="0" borderId="0" xfId="2" applyFont="1" applyFill="1" applyAlignment="1">
      <alignment horizontal="left" vertical="top"/>
    </xf>
    <xf numFmtId="0" fontId="3" fillId="0" borderId="16" xfId="1" applyNumberFormat="1" applyFont="1" applyFill="1" applyBorder="1" applyAlignment="1">
      <alignment horizontal="center" vertical="top"/>
    </xf>
    <xf numFmtId="0" fontId="3" fillId="0" borderId="17" xfId="1" applyNumberFormat="1" applyFont="1" applyFill="1" applyBorder="1" applyAlignment="1">
      <alignment horizontal="center" vertical="top"/>
    </xf>
    <xf numFmtId="0" fontId="6" fillId="0" borderId="4" xfId="0" applyFont="1" applyFill="1" applyBorder="1" applyAlignment="1">
      <alignment horizontal="center" vertical="top"/>
    </xf>
    <xf numFmtId="0" fontId="3" fillId="0" borderId="19" xfId="0" applyFont="1" applyFill="1" applyBorder="1" applyAlignment="1">
      <alignment vertical="top"/>
    </xf>
    <xf numFmtId="0" fontId="3" fillId="0" borderId="0" xfId="0" applyFont="1" applyFill="1" applyBorder="1" applyAlignment="1">
      <alignment vertical="top"/>
    </xf>
    <xf numFmtId="0" fontId="3" fillId="0" borderId="12" xfId="1" quotePrefix="1" applyNumberFormat="1" applyFont="1" applyFill="1" applyBorder="1" applyAlignment="1">
      <alignment horizontal="center" vertical="top"/>
    </xf>
    <xf numFmtId="0" fontId="3" fillId="0" borderId="13" xfId="1" quotePrefix="1" applyNumberFormat="1" applyFont="1" applyFill="1" applyBorder="1" applyAlignment="1">
      <alignment horizontal="center" vertical="top"/>
    </xf>
    <xf numFmtId="0" fontId="3" fillId="0" borderId="14" xfId="1" applyNumberFormat="1" applyFont="1" applyFill="1" applyBorder="1" applyAlignment="1">
      <alignment horizontal="center" vertical="top"/>
    </xf>
    <xf numFmtId="0" fontId="3" fillId="0" borderId="3" xfId="0" applyFont="1" applyFill="1" applyBorder="1" applyAlignment="1">
      <alignment vertical="top"/>
    </xf>
    <xf numFmtId="0" fontId="3" fillId="0" borderId="20" xfId="0" quotePrefix="1" applyFont="1" applyFill="1" applyBorder="1" applyAlignment="1">
      <alignment vertical="top"/>
    </xf>
    <xf numFmtId="0" fontId="3" fillId="0" borderId="15" xfId="0" applyFont="1" applyFill="1" applyBorder="1" applyAlignment="1">
      <alignment vertical="top"/>
    </xf>
    <xf numFmtId="0" fontId="3" fillId="0" borderId="15" xfId="0" applyFont="1" applyFill="1" applyBorder="1" applyAlignment="1">
      <alignment horizontal="center" vertical="top"/>
    </xf>
    <xf numFmtId="0" fontId="3" fillId="0" borderId="21" xfId="0" applyFont="1" applyFill="1" applyBorder="1" applyAlignment="1">
      <alignment vertical="top"/>
    </xf>
    <xf numFmtId="0" fontId="3" fillId="0" borderId="20" xfId="0" applyFont="1" applyFill="1" applyBorder="1" applyAlignment="1">
      <alignment vertical="top"/>
    </xf>
    <xf numFmtId="0" fontId="3" fillId="0" borderId="15" xfId="0" applyFont="1" applyFill="1" applyBorder="1" applyAlignment="1">
      <alignment horizontal="left" vertical="top"/>
    </xf>
    <xf numFmtId="0" fontId="6" fillId="0" borderId="8" xfId="0" applyFont="1" applyFill="1" applyBorder="1" applyAlignment="1">
      <alignment vertical="top"/>
    </xf>
    <xf numFmtId="0" fontId="6" fillId="0" borderId="9" xfId="0" applyFont="1" applyFill="1" applyBorder="1" applyAlignment="1">
      <alignment vertical="top"/>
    </xf>
    <xf numFmtId="0" fontId="6" fillId="0" borderId="4" xfId="0" applyFont="1" applyFill="1" applyBorder="1" applyAlignment="1">
      <alignment vertical="top"/>
    </xf>
    <xf numFmtId="0" fontId="3" fillId="0" borderId="22" xfId="1" quotePrefix="1" applyNumberFormat="1" applyFont="1" applyFill="1" applyBorder="1" applyAlignment="1">
      <alignment horizontal="center" vertical="top"/>
    </xf>
    <xf numFmtId="0" fontId="3" fillId="0" borderId="23" xfId="1" quotePrefix="1" applyNumberFormat="1" applyFont="1" applyFill="1" applyBorder="1" applyAlignment="1">
      <alignment horizontal="center" vertical="top"/>
    </xf>
    <xf numFmtId="0" fontId="3" fillId="0" borderId="24" xfId="1" quotePrefix="1" applyNumberFormat="1" applyFont="1" applyFill="1" applyBorder="1" applyAlignment="1">
      <alignment horizontal="center" vertical="top"/>
    </xf>
    <xf numFmtId="0" fontId="3" fillId="0" borderId="11" xfId="0" applyFont="1" applyFill="1" applyBorder="1" applyAlignment="1">
      <alignment horizontal="left" vertical="top"/>
    </xf>
    <xf numFmtId="0" fontId="3" fillId="0" borderId="11" xfId="0" applyFont="1" applyFill="1" applyBorder="1" applyAlignment="1">
      <alignment horizontal="center" vertical="top"/>
    </xf>
    <xf numFmtId="0" fontId="3" fillId="0" borderId="11" xfId="0" applyFont="1" applyFill="1" applyBorder="1" applyAlignment="1">
      <alignment vertical="top"/>
    </xf>
    <xf numFmtId="0" fontId="3" fillId="0" borderId="1" xfId="1" quotePrefix="1" applyNumberFormat="1" applyFont="1" applyFill="1" applyBorder="1" applyAlignment="1">
      <alignment horizontal="center" vertical="top"/>
    </xf>
    <xf numFmtId="0" fontId="3" fillId="0" borderId="2" xfId="1" quotePrefix="1" applyNumberFormat="1" applyFont="1" applyFill="1" applyBorder="1" applyAlignment="1">
      <alignment horizontal="center" vertical="top"/>
    </xf>
    <xf numFmtId="0" fontId="3" fillId="0" borderId="25" xfId="1" applyNumberFormat="1" applyFont="1" applyFill="1" applyBorder="1" applyAlignment="1">
      <alignment horizontal="center" vertical="top"/>
    </xf>
    <xf numFmtId="0" fontId="3" fillId="0" borderId="26" xfId="0" quotePrefix="1" applyFont="1" applyFill="1" applyBorder="1" applyAlignment="1">
      <alignment vertical="top"/>
    </xf>
    <xf numFmtId="0" fontId="3" fillId="0" borderId="19" xfId="0" applyFont="1" applyFill="1" applyBorder="1" applyAlignment="1">
      <alignment horizontal="center" vertical="top"/>
    </xf>
    <xf numFmtId="0" fontId="3" fillId="0" borderId="27" xfId="0" applyFont="1" applyFill="1" applyBorder="1" applyAlignment="1">
      <alignment vertical="top"/>
    </xf>
    <xf numFmtId="0" fontId="3" fillId="0" borderId="26" xfId="0" applyFont="1" applyFill="1" applyBorder="1" applyAlignment="1">
      <alignment vertical="top"/>
    </xf>
    <xf numFmtId="0" fontId="3" fillId="0" borderId="19" xfId="0" applyFont="1" applyFill="1" applyBorder="1" applyAlignment="1">
      <alignment horizontal="left" vertical="top"/>
    </xf>
    <xf numFmtId="9" fontId="3" fillId="0" borderId="4" xfId="0" applyNumberFormat="1" applyFont="1" applyFill="1" applyBorder="1" applyAlignment="1">
      <alignment horizontal="center" vertical="top"/>
    </xf>
    <xf numFmtId="0" fontId="6" fillId="3" borderId="0" xfId="0" applyFont="1" applyFill="1" applyAlignment="1">
      <alignment vertical="top"/>
    </xf>
    <xf numFmtId="0" fontId="3" fillId="0" borderId="24" xfId="1" applyNumberFormat="1" applyFont="1" applyFill="1" applyBorder="1" applyAlignment="1">
      <alignment horizontal="center" vertical="top"/>
    </xf>
    <xf numFmtId="0" fontId="3" fillId="0" borderId="5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0" fontId="3" fillId="0" borderId="1" xfId="1" applyNumberFormat="1" applyFont="1" applyFill="1" applyBorder="1" applyAlignment="1">
      <alignment horizontal="center" vertical="top"/>
    </xf>
    <xf numFmtId="0" fontId="3" fillId="0" borderId="2" xfId="1" applyNumberFormat="1" applyFont="1" applyFill="1" applyBorder="1" applyAlignment="1">
      <alignment horizontal="center" vertical="top"/>
    </xf>
    <xf numFmtId="0" fontId="3" fillId="0" borderId="12" xfId="1" applyNumberFormat="1" applyFont="1" applyFill="1" applyBorder="1" applyAlignment="1">
      <alignment horizontal="center" vertical="top"/>
    </xf>
    <xf numFmtId="0" fontId="3" fillId="0" borderId="13" xfId="1" applyNumberFormat="1" applyFont="1" applyFill="1" applyBorder="1" applyAlignment="1">
      <alignment horizontal="center" vertical="top"/>
    </xf>
    <xf numFmtId="0" fontId="4" fillId="0" borderId="0" xfId="0" applyFont="1" applyFill="1" applyBorder="1" applyAlignment="1">
      <alignment vertical="top"/>
    </xf>
    <xf numFmtId="0" fontId="4" fillId="0" borderId="3" xfId="0" applyFont="1" applyFill="1" applyBorder="1" applyAlignment="1">
      <alignment vertical="top"/>
    </xf>
    <xf numFmtId="0" fontId="3" fillId="0" borderId="19" xfId="0" quotePrefix="1" applyFont="1" applyFill="1" applyBorder="1" applyAlignment="1">
      <alignment vertical="top"/>
    </xf>
    <xf numFmtId="0" fontId="3" fillId="0" borderId="27" xfId="0" quotePrefix="1" applyFont="1" applyFill="1" applyBorder="1" applyAlignment="1">
      <alignment vertical="top"/>
    </xf>
    <xf numFmtId="0" fontId="3" fillId="0" borderId="0" xfId="2" applyFont="1" applyFill="1" applyBorder="1" applyAlignment="1">
      <alignment horizontal="left" vertical="top"/>
    </xf>
    <xf numFmtId="0" fontId="9" fillId="0" borderId="4" xfId="0" applyFont="1" applyFill="1" applyBorder="1" applyAlignment="1">
      <alignment horizontal="center" vertical="top"/>
    </xf>
    <xf numFmtId="0" fontId="3" fillId="0" borderId="7" xfId="2" applyFont="1" applyFill="1" applyBorder="1" applyAlignment="1">
      <alignment horizontal="left" vertical="top"/>
    </xf>
    <xf numFmtId="0" fontId="3" fillId="0" borderId="5" xfId="2" applyFont="1" applyFill="1" applyBorder="1" applyAlignment="1">
      <alignment horizontal="left" vertical="top"/>
    </xf>
    <xf numFmtId="0" fontId="3" fillId="0" borderId="26" xfId="2" applyFont="1" applyFill="1" applyBorder="1" applyAlignment="1">
      <alignment horizontal="left" vertical="top"/>
    </xf>
    <xf numFmtId="0" fontId="3" fillId="0" borderId="27" xfId="2" applyFont="1" applyFill="1" applyBorder="1" applyAlignment="1">
      <alignment horizontal="left" vertical="top"/>
    </xf>
    <xf numFmtId="0" fontId="3" fillId="0" borderId="20" xfId="2" applyFont="1" applyFill="1" applyBorder="1" applyAlignment="1">
      <alignment horizontal="left" vertical="top"/>
    </xf>
    <xf numFmtId="0" fontId="3" fillId="0" borderId="14" xfId="1" quotePrefix="1" applyNumberFormat="1" applyFont="1" applyFill="1" applyBorder="1" applyAlignment="1">
      <alignment horizontal="center" vertical="top"/>
    </xf>
    <xf numFmtId="0" fontId="3" fillId="0" borderId="21" xfId="2" applyFont="1" applyFill="1" applyBorder="1" applyAlignment="1">
      <alignment horizontal="left" vertical="top"/>
    </xf>
    <xf numFmtId="0" fontId="9" fillId="0" borderId="11" xfId="0" applyFont="1" applyFill="1" applyBorder="1" applyAlignment="1">
      <alignment horizontal="center" vertical="top"/>
    </xf>
    <xf numFmtId="0" fontId="9" fillId="0" borderId="15" xfId="0" applyFont="1" applyFill="1" applyBorder="1" applyAlignment="1">
      <alignment horizontal="center" vertical="top"/>
    </xf>
    <xf numFmtId="0" fontId="3" fillId="0" borderId="22" xfId="1" applyNumberFormat="1" applyFont="1" applyFill="1" applyBorder="1" applyAlignment="1">
      <alignment horizontal="center" vertical="top"/>
    </xf>
    <xf numFmtId="0" fontId="3" fillId="0" borderId="23" xfId="1" applyNumberFormat="1" applyFont="1" applyFill="1" applyBorder="1" applyAlignment="1">
      <alignment horizontal="center" vertical="top"/>
    </xf>
    <xf numFmtId="0" fontId="9" fillId="0" borderId="19" xfId="0" applyFont="1" applyFill="1" applyBorder="1" applyAlignment="1">
      <alignment horizontal="center" vertical="top"/>
    </xf>
    <xf numFmtId="0" fontId="11" fillId="0" borderId="15" xfId="2" applyFont="1" applyFill="1" applyBorder="1" applyAlignment="1">
      <alignment horizontal="left" vertical="top"/>
    </xf>
    <xf numFmtId="0" fontId="11" fillId="0" borderId="4" xfId="2" applyFont="1" applyFill="1" applyBorder="1" applyAlignment="1">
      <alignment horizontal="left" vertical="top"/>
    </xf>
    <xf numFmtId="0" fontId="6" fillId="0" borderId="8" xfId="3" applyFont="1" applyFill="1" applyBorder="1" applyAlignment="1">
      <alignment vertical="top"/>
    </xf>
    <xf numFmtId="0" fontId="3" fillId="0" borderId="21" xfId="0" quotePrefix="1" applyFont="1" applyFill="1" applyBorder="1" applyAlignment="1">
      <alignment vertical="top"/>
    </xf>
    <xf numFmtId="49" fontId="3" fillId="0" borderId="24" xfId="1" applyNumberFormat="1" applyFont="1" applyFill="1" applyBorder="1" applyAlignment="1">
      <alignment horizontal="center" vertical="top"/>
    </xf>
    <xf numFmtId="0" fontId="10" fillId="0" borderId="11" xfId="0" applyFont="1" applyFill="1" applyBorder="1" applyAlignment="1">
      <alignment horizontal="center" vertical="top"/>
    </xf>
    <xf numFmtId="0" fontId="12" fillId="0" borderId="11" xfId="2" applyFont="1" applyFill="1" applyBorder="1" applyAlignment="1">
      <alignment horizontal="left" vertical="top"/>
    </xf>
    <xf numFmtId="0" fontId="10" fillId="0" borderId="0" xfId="2" applyFont="1" applyFill="1" applyBorder="1" applyAlignment="1">
      <alignment horizontal="left" vertical="top"/>
    </xf>
    <xf numFmtId="49" fontId="3" fillId="0" borderId="25" xfId="1" applyNumberFormat="1" applyFont="1" applyFill="1" applyBorder="1" applyAlignment="1">
      <alignment horizontal="center" vertical="top"/>
    </xf>
    <xf numFmtId="0" fontId="10" fillId="0" borderId="19" xfId="0" applyFont="1" applyFill="1" applyBorder="1" applyAlignment="1">
      <alignment horizontal="center" vertical="top"/>
    </xf>
    <xf numFmtId="0" fontId="12" fillId="0" borderId="19" xfId="2" applyFont="1" applyFill="1" applyBorder="1" applyAlignment="1">
      <alignment horizontal="left" vertical="top"/>
    </xf>
    <xf numFmtId="0" fontId="10" fillId="0" borderId="19" xfId="0" applyFont="1" applyFill="1" applyBorder="1" applyAlignment="1">
      <alignment vertical="top"/>
    </xf>
    <xf numFmtId="0" fontId="10" fillId="0" borderId="1" xfId="1" quotePrefix="1" applyNumberFormat="1" applyFont="1" applyFill="1" applyBorder="1" applyAlignment="1">
      <alignment horizontal="center" vertical="top"/>
    </xf>
    <xf numFmtId="0" fontId="10" fillId="0" borderId="2" xfId="1" quotePrefix="1" applyNumberFormat="1" applyFont="1" applyFill="1" applyBorder="1" applyAlignment="1">
      <alignment horizontal="center" vertical="top"/>
    </xf>
    <xf numFmtId="49" fontId="10" fillId="0" borderId="25" xfId="1" applyNumberFormat="1" applyFont="1" applyFill="1" applyBorder="1" applyAlignment="1">
      <alignment horizontal="center" vertical="top"/>
    </xf>
    <xf numFmtId="0" fontId="10" fillId="0" borderId="27" xfId="2" applyFont="1" applyFill="1" applyBorder="1" applyAlignment="1">
      <alignment horizontal="left" vertical="top"/>
    </xf>
    <xf numFmtId="49" fontId="3" fillId="0" borderId="14" xfId="1" applyNumberFormat="1" applyFont="1" applyFill="1" applyBorder="1" applyAlignment="1">
      <alignment horizontal="center" vertical="top"/>
    </xf>
    <xf numFmtId="0" fontId="6" fillId="0" borderId="9" xfId="3" applyFont="1" applyFill="1" applyBorder="1" applyAlignment="1">
      <alignment vertical="top"/>
    </xf>
    <xf numFmtId="0" fontId="6" fillId="0" borderId="4" xfId="3" applyFont="1" applyFill="1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8" fillId="0" borderId="9" xfId="0" applyFont="1" applyFill="1" applyBorder="1" applyAlignment="1">
      <alignment vertical="top"/>
    </xf>
    <xf numFmtId="0" fontId="8" fillId="0" borderId="8" xfId="0" applyFont="1" applyFill="1" applyBorder="1" applyAlignment="1">
      <alignment vertical="top"/>
    </xf>
    <xf numFmtId="0" fontId="3" fillId="0" borderId="1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top"/>
    </xf>
    <xf numFmtId="0" fontId="3" fillId="0" borderId="15" xfId="0" applyFont="1" applyFill="1" applyBorder="1" applyAlignment="1">
      <alignment horizontal="center" vertical="center"/>
    </xf>
    <xf numFmtId="0" fontId="5" fillId="2" borderId="10" xfId="1" applyNumberFormat="1" applyFont="1" applyFill="1" applyBorder="1" applyAlignment="1">
      <alignment horizontal="center" vertical="top"/>
    </xf>
    <xf numFmtId="0" fontId="3" fillId="0" borderId="6" xfId="1" applyNumberFormat="1" applyFont="1" applyFill="1" applyBorder="1" applyAlignment="1">
      <alignment horizontal="center" vertical="top"/>
    </xf>
    <xf numFmtId="0" fontId="3" fillId="0" borderId="10" xfId="1" applyNumberFormat="1" applyFont="1" applyFill="1" applyBorder="1" applyAlignment="1">
      <alignment horizontal="center" vertical="top"/>
    </xf>
    <xf numFmtId="0" fontId="14" fillId="4" borderId="0" xfId="0" applyFont="1" applyFill="1"/>
    <xf numFmtId="0" fontId="15" fillId="4" borderId="0" xfId="0" applyFont="1" applyFill="1"/>
    <xf numFmtId="0" fontId="16" fillId="5" borderId="0" xfId="0" applyFont="1" applyFill="1"/>
    <xf numFmtId="0" fontId="16" fillId="0" borderId="0" xfId="0" applyFont="1"/>
    <xf numFmtId="0" fontId="17" fillId="0" borderId="0" xfId="0" applyFont="1"/>
    <xf numFmtId="0" fontId="17" fillId="5" borderId="0" xfId="0" applyFont="1" applyFill="1"/>
    <xf numFmtId="0" fontId="18" fillId="0" borderId="0" xfId="0" applyFont="1"/>
    <xf numFmtId="0" fontId="19" fillId="0" borderId="0" xfId="0" applyFont="1"/>
    <xf numFmtId="0" fontId="18" fillId="0" borderId="3" xfId="0" applyFont="1" applyBorder="1"/>
    <xf numFmtId="0" fontId="19" fillId="0" borderId="3" xfId="0" applyFont="1" applyBorder="1" applyAlignment="1">
      <alignment horizontal="left"/>
    </xf>
    <xf numFmtId="0" fontId="19" fillId="0" borderId="3" xfId="0" applyFont="1" applyBorder="1"/>
    <xf numFmtId="0" fontId="19" fillId="6" borderId="0" xfId="0" applyFont="1" applyFill="1"/>
    <xf numFmtId="0" fontId="18" fillId="6" borderId="0" xfId="0" applyFont="1" applyFill="1"/>
    <xf numFmtId="0" fontId="18" fillId="7" borderId="0" xfId="0" applyFont="1" applyFill="1"/>
    <xf numFmtId="0" fontId="20" fillId="0" borderId="0" xfId="0" applyFont="1"/>
    <xf numFmtId="0" fontId="18" fillId="0" borderId="0" xfId="0" applyFont="1" applyBorder="1"/>
    <xf numFmtId="0" fontId="19" fillId="0" borderId="0" xfId="0" applyFont="1" applyAlignment="1"/>
    <xf numFmtId="0" fontId="3" fillId="0" borderId="3" xfId="1" applyNumberFormat="1" applyFont="1" applyFill="1" applyBorder="1" applyAlignment="1">
      <alignment horizontal="center" vertical="center" wrapText="1"/>
    </xf>
    <xf numFmtId="0" fontId="3" fillId="0" borderId="20" xfId="1" applyNumberFormat="1" applyFont="1" applyFill="1" applyBorder="1" applyAlignment="1">
      <alignment horizontal="center" vertical="center" wrapText="1"/>
    </xf>
    <xf numFmtId="0" fontId="3" fillId="0" borderId="21" xfId="0" applyFont="1" applyFill="1" applyBorder="1" applyAlignment="1">
      <alignment horizontal="center" vertical="center" wrapText="1"/>
    </xf>
    <xf numFmtId="0" fontId="3" fillId="0" borderId="20" xfId="0" applyFont="1" applyFill="1" applyBorder="1" applyAlignment="1">
      <alignment horizontal="center" vertical="center" wrapText="1"/>
    </xf>
    <xf numFmtId="0" fontId="16" fillId="0" borderId="0" xfId="0" applyFont="1"/>
    <xf numFmtId="0" fontId="18" fillId="0" borderId="0" xfId="0" applyFont="1"/>
    <xf numFmtId="0" fontId="16" fillId="5" borderId="0" xfId="0" applyFont="1" applyFill="1"/>
    <xf numFmtId="0" fontId="15" fillId="4" borderId="0" xfId="0" applyFont="1" applyFill="1"/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18" fillId="0" borderId="3" xfId="0" applyFont="1" applyBorder="1"/>
    <xf numFmtId="0" fontId="18" fillId="0" borderId="6" xfId="0" applyFont="1" applyBorder="1"/>
  </cellXfs>
  <cellStyles count="4">
    <cellStyle name="Comma" xfId="1" builtinId="3"/>
    <cellStyle name="Normal" xfId="0" builtinId="0"/>
    <cellStyle name="Normal 2" xfId="3" xr:uid="{727A95DA-751E-4C8E-AA06-99F8F72E10D4}"/>
    <cellStyle name="Normal 5" xfId="2" xr:uid="{CC1E98C6-B347-4E2E-BBBB-53B45561CD45}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rgb="FF000000"/>
          <bgColor rgb="FFFF80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428360-C3CE-41D4-A4F1-7978F0EA7CCC}" name="Table1" displayName="Table1" ref="A12:G99" totalsRowShown="0" dataDxfId="7">
  <autoFilter ref="A12:G99" xr:uid="{12428360-C3CE-41D4-A4F1-7978F0EA7CCC}"/>
  <tableColumns count="7">
    <tableColumn id="1" xr3:uid="{4AEF38FB-2FE7-4824-AAB6-24D7FA9173D4}" name="WBS" dataDxfId="6"/>
    <tableColumn id="2" xr3:uid="{CCAA1AE0-04B9-49E2-8F7E-2EE2EDD1297F}" name="Instrument Type" dataDxfId="5"/>
    <tableColumn id="3" xr3:uid="{4B0BFF6D-5A00-4BCC-898B-586086AEDB67}" name="Code" dataDxfId="4"/>
    <tableColumn id="4" xr3:uid="{BC8D7F58-2DF3-46B9-8B33-2448F0512017}" name="Count" dataDxfId="3"/>
    <tableColumn id="5" xr3:uid="{234D6AB9-AC7C-425F-B7CC-F8C7D8984391}" name="# of local instr." dataDxfId="2"/>
    <tableColumn id="6" xr3:uid="{CDC5F4E4-A5B7-44CA-AF10-231D83254CF8}" name="# of electr. Instr." dataDxfId="1"/>
    <tableColumn id="7" xr3:uid="{C98779D1-B9EF-429A-9E19-1ADADD3964CE}" name="# of loop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D2D73-558C-408F-944C-6089D09C88C7}">
  <sheetPr codeName="Sheet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05084-0CAD-4271-ABC2-1354267549C7}">
  <sheetPr codeName="Sheet2"/>
  <dimension ref="A1:P313"/>
  <sheetViews>
    <sheetView workbookViewId="0">
      <selection activeCell="M1" sqref="M1:M1048576"/>
    </sheetView>
  </sheetViews>
  <sheetFormatPr defaultRowHeight="15"/>
  <cols>
    <col min="1" max="1" width="6.42578125" bestFit="1" customWidth="1"/>
    <col min="2" max="2" width="1.7109375" bestFit="1" customWidth="1"/>
    <col min="3" max="3" width="5.5703125" bestFit="1" customWidth="1"/>
    <col min="4" max="4" width="10.85546875" bestFit="1" customWidth="1"/>
    <col min="5" max="5" width="53.5703125" bestFit="1" customWidth="1"/>
    <col min="6" max="6" width="56.42578125" bestFit="1" customWidth="1"/>
    <col min="7" max="7" width="23.140625" bestFit="1" customWidth="1"/>
    <col min="8" max="8" width="4" bestFit="1" customWidth="1"/>
    <col min="9" max="9" width="3.140625" bestFit="1" customWidth="1"/>
    <col min="10" max="10" width="5.28515625" bestFit="1" customWidth="1"/>
    <col min="11" max="11" width="11.85546875" bestFit="1" customWidth="1"/>
    <col min="12" max="12" width="5.85546875" bestFit="1" customWidth="1"/>
    <col min="13" max="14" width="5.28515625" bestFit="1" customWidth="1"/>
    <col min="15" max="15" width="35.42578125" bestFit="1" customWidth="1"/>
  </cols>
  <sheetData>
    <row r="1" spans="1:16" ht="42">
      <c r="A1" s="136" t="s">
        <v>392</v>
      </c>
      <c r="B1" s="136"/>
      <c r="C1" s="137"/>
      <c r="D1" s="1" t="s">
        <v>0</v>
      </c>
      <c r="E1" s="138"/>
      <c r="F1" s="139"/>
      <c r="G1" s="115"/>
      <c r="H1" s="4" t="s">
        <v>1</v>
      </c>
      <c r="I1" s="5" t="s">
        <v>2</v>
      </c>
      <c r="J1" s="3" t="s">
        <v>3</v>
      </c>
      <c r="K1" s="3" t="s">
        <v>4</v>
      </c>
      <c r="L1" s="3" t="s">
        <v>5</v>
      </c>
      <c r="M1" s="3" t="s">
        <v>6</v>
      </c>
      <c r="N1" s="3" t="s">
        <v>391</v>
      </c>
      <c r="O1" s="3" t="s">
        <v>7</v>
      </c>
      <c r="P1" s="2"/>
    </row>
    <row r="2" spans="1:16">
      <c r="A2" s="6" t="s">
        <v>8</v>
      </c>
      <c r="B2" s="7"/>
      <c r="C2" s="8" t="s">
        <v>9</v>
      </c>
      <c r="D2" s="116"/>
      <c r="E2" s="9" t="s">
        <v>10</v>
      </c>
      <c r="F2" s="10"/>
      <c r="G2" s="114"/>
      <c r="H2" s="112"/>
      <c r="I2" s="112"/>
      <c r="J2" s="12"/>
      <c r="K2" s="11"/>
      <c r="L2" s="11"/>
      <c r="M2" s="11"/>
      <c r="N2" s="11"/>
      <c r="O2" s="13"/>
      <c r="P2" s="63"/>
    </row>
    <row r="3" spans="1:16">
      <c r="A3" s="14" t="s">
        <v>11</v>
      </c>
      <c r="B3" s="15"/>
      <c r="C3" s="16" t="s">
        <v>9</v>
      </c>
      <c r="D3" s="14" t="s">
        <v>11</v>
      </c>
      <c r="E3" s="45" t="s">
        <v>12</v>
      </c>
      <c r="F3" s="46"/>
      <c r="G3" s="32"/>
      <c r="H3" s="47"/>
      <c r="I3" s="47"/>
      <c r="J3" s="47"/>
      <c r="K3" s="17"/>
      <c r="L3" s="17"/>
      <c r="M3" s="17"/>
      <c r="N3" s="17"/>
      <c r="O3" s="21"/>
      <c r="P3" s="23"/>
    </row>
    <row r="4" spans="1:16">
      <c r="A4" s="86" t="s">
        <v>11</v>
      </c>
      <c r="B4" s="87" t="s">
        <v>13</v>
      </c>
      <c r="C4" s="64" t="s">
        <v>14</v>
      </c>
      <c r="D4" s="117" t="str">
        <f>_xlfn.CONCAT(A4,B4,C4)</f>
        <v>1470-0001</v>
      </c>
      <c r="E4" s="65" t="s">
        <v>15</v>
      </c>
      <c r="F4" s="66"/>
      <c r="G4" s="52"/>
      <c r="H4" s="53"/>
      <c r="I4" s="53"/>
      <c r="J4" s="53" t="s">
        <v>16</v>
      </c>
      <c r="K4" s="52" t="s">
        <v>17</v>
      </c>
      <c r="L4" s="52" t="s">
        <v>17</v>
      </c>
      <c r="M4" s="52" t="s">
        <v>17</v>
      </c>
      <c r="N4" s="52" t="s">
        <v>17</v>
      </c>
      <c r="O4" s="51"/>
      <c r="P4" s="34"/>
    </row>
    <row r="5" spans="1:16">
      <c r="A5" s="67" t="s">
        <v>9</v>
      </c>
      <c r="B5" s="68"/>
      <c r="C5" s="56" t="s">
        <v>9</v>
      </c>
      <c r="D5" s="117" t="str">
        <f t="shared" ref="D5:D68" si="0">_xlfn.CONCAT(A5,B5,C5)</f>
        <v/>
      </c>
      <c r="E5" s="34"/>
      <c r="F5" s="57" t="s">
        <v>18</v>
      </c>
      <c r="G5" s="58"/>
      <c r="H5" s="33"/>
      <c r="I5" s="33"/>
      <c r="J5" s="33"/>
      <c r="K5" s="58"/>
      <c r="L5" s="58"/>
      <c r="M5" s="58"/>
      <c r="N5" s="58"/>
      <c r="O5" s="61"/>
      <c r="P5" s="34"/>
    </row>
    <row r="6" spans="1:16">
      <c r="A6" s="67" t="s">
        <v>9</v>
      </c>
      <c r="B6" s="68"/>
      <c r="C6" s="56" t="s">
        <v>9</v>
      </c>
      <c r="D6" s="117" t="str">
        <f t="shared" si="0"/>
        <v/>
      </c>
      <c r="E6" s="34"/>
      <c r="F6" s="57" t="s">
        <v>19</v>
      </c>
      <c r="G6" s="58"/>
      <c r="H6" s="33"/>
      <c r="I6" s="33"/>
      <c r="J6" s="33"/>
      <c r="K6" s="58"/>
      <c r="L6" s="58"/>
      <c r="M6" s="58"/>
      <c r="N6" s="58"/>
      <c r="O6" s="61"/>
      <c r="P6" s="34"/>
    </row>
    <row r="7" spans="1:16">
      <c r="A7" s="69" t="s">
        <v>9</v>
      </c>
      <c r="B7" s="70"/>
      <c r="C7" s="37" t="s">
        <v>9</v>
      </c>
      <c r="D7" s="117" t="str">
        <f t="shared" si="0"/>
        <v/>
      </c>
      <c r="E7" s="38"/>
      <c r="F7" s="39" t="s">
        <v>20</v>
      </c>
      <c r="G7" s="41"/>
      <c r="H7" s="40"/>
      <c r="I7" s="40"/>
      <c r="J7" s="40"/>
      <c r="K7" s="41"/>
      <c r="L7" s="41"/>
      <c r="M7" s="41"/>
      <c r="N7" s="41"/>
      <c r="O7" s="44"/>
      <c r="P7" s="34"/>
    </row>
    <row r="8" spans="1:16">
      <c r="A8" s="86" t="s">
        <v>11</v>
      </c>
      <c r="B8" s="87" t="s">
        <v>13</v>
      </c>
      <c r="C8" s="64" t="s">
        <v>21</v>
      </c>
      <c r="D8" s="117" t="str">
        <f t="shared" si="0"/>
        <v>1470-0002</v>
      </c>
      <c r="E8" s="65" t="s">
        <v>22</v>
      </c>
      <c r="F8" s="66"/>
      <c r="G8" s="52"/>
      <c r="H8" s="53"/>
      <c r="I8" s="53"/>
      <c r="J8" s="53" t="s">
        <v>23</v>
      </c>
      <c r="K8" s="52" t="s">
        <v>17</v>
      </c>
      <c r="L8" s="52" t="s">
        <v>17</v>
      </c>
      <c r="M8" s="52" t="s">
        <v>17</v>
      </c>
      <c r="N8" s="52" t="s">
        <v>17</v>
      </c>
      <c r="O8" s="51"/>
      <c r="P8" s="34"/>
    </row>
    <row r="9" spans="1:16">
      <c r="A9" s="67" t="s">
        <v>9</v>
      </c>
      <c r="B9" s="68"/>
      <c r="C9" s="56" t="s">
        <v>9</v>
      </c>
      <c r="D9" s="117" t="str">
        <f t="shared" si="0"/>
        <v/>
      </c>
      <c r="E9" s="71"/>
      <c r="F9" s="57" t="s">
        <v>24</v>
      </c>
      <c r="G9" s="58"/>
      <c r="H9" s="33"/>
      <c r="I9" s="33"/>
      <c r="J9" s="33"/>
      <c r="K9" s="58"/>
      <c r="L9" s="58"/>
      <c r="M9" s="58"/>
      <c r="N9" s="58"/>
      <c r="O9" s="61"/>
      <c r="P9" s="71"/>
    </row>
    <row r="10" spans="1:16">
      <c r="A10" s="67" t="s">
        <v>9</v>
      </c>
      <c r="B10" s="68"/>
      <c r="C10" s="56" t="s">
        <v>9</v>
      </c>
      <c r="D10" s="117" t="str">
        <f t="shared" si="0"/>
        <v/>
      </c>
      <c r="E10" s="71"/>
      <c r="F10" s="57" t="s">
        <v>25</v>
      </c>
      <c r="G10" s="58"/>
      <c r="H10" s="33"/>
      <c r="I10" s="33"/>
      <c r="J10" s="33"/>
      <c r="K10" s="58"/>
      <c r="L10" s="58"/>
      <c r="M10" s="58"/>
      <c r="N10" s="58"/>
      <c r="O10" s="61"/>
      <c r="P10" s="71"/>
    </row>
    <row r="11" spans="1:16">
      <c r="A11" s="67" t="s">
        <v>9</v>
      </c>
      <c r="B11" s="68"/>
      <c r="C11" s="56" t="s">
        <v>9</v>
      </c>
      <c r="D11" s="117" t="str">
        <f t="shared" si="0"/>
        <v/>
      </c>
      <c r="E11" s="71"/>
      <c r="F11" s="57" t="s">
        <v>26</v>
      </c>
      <c r="G11" s="58"/>
      <c r="H11" s="33"/>
      <c r="I11" s="33"/>
      <c r="J11" s="33"/>
      <c r="K11" s="58"/>
      <c r="L11" s="58"/>
      <c r="M11" s="58"/>
      <c r="N11" s="58"/>
      <c r="O11" s="61"/>
      <c r="P11" s="71"/>
    </row>
    <row r="12" spans="1:16">
      <c r="A12" s="67" t="s">
        <v>9</v>
      </c>
      <c r="B12" s="68"/>
      <c r="C12" s="56" t="s">
        <v>9</v>
      </c>
      <c r="D12" s="117" t="str">
        <f t="shared" si="0"/>
        <v/>
      </c>
      <c r="E12" s="71"/>
      <c r="F12" s="57" t="s">
        <v>27</v>
      </c>
      <c r="G12" s="58"/>
      <c r="H12" s="33"/>
      <c r="I12" s="33"/>
      <c r="J12" s="33"/>
      <c r="K12" s="58"/>
      <c r="L12" s="58"/>
      <c r="M12" s="58"/>
      <c r="N12" s="58"/>
      <c r="O12" s="61"/>
      <c r="P12" s="71"/>
    </row>
    <row r="13" spans="1:16">
      <c r="A13" s="69" t="s">
        <v>9</v>
      </c>
      <c r="B13" s="70"/>
      <c r="C13" s="37" t="s">
        <v>9</v>
      </c>
      <c r="D13" s="117" t="str">
        <f t="shared" si="0"/>
        <v/>
      </c>
      <c r="E13" s="72"/>
      <c r="F13" s="39" t="s">
        <v>28</v>
      </c>
      <c r="G13" s="41"/>
      <c r="H13" s="40"/>
      <c r="I13" s="40"/>
      <c r="J13" s="40"/>
      <c r="K13" s="41"/>
      <c r="L13" s="41"/>
      <c r="M13" s="41"/>
      <c r="N13" s="41"/>
      <c r="O13" s="44"/>
      <c r="P13" s="71"/>
    </row>
    <row r="14" spans="1:16">
      <c r="A14" s="86" t="s">
        <v>11</v>
      </c>
      <c r="B14" s="87" t="s">
        <v>13</v>
      </c>
      <c r="C14" s="64" t="s">
        <v>29</v>
      </c>
      <c r="D14" s="117" t="str">
        <f t="shared" si="0"/>
        <v>1470-0003</v>
      </c>
      <c r="E14" s="65" t="s">
        <v>30</v>
      </c>
      <c r="F14" s="66"/>
      <c r="G14" s="52"/>
      <c r="H14" s="53"/>
      <c r="I14" s="53"/>
      <c r="J14" s="53" t="s">
        <v>23</v>
      </c>
      <c r="K14" s="52" t="s">
        <v>17</v>
      </c>
      <c r="L14" s="52" t="s">
        <v>17</v>
      </c>
      <c r="M14" s="52" t="s">
        <v>17</v>
      </c>
      <c r="N14" s="52" t="s">
        <v>17</v>
      </c>
      <c r="O14" s="51"/>
      <c r="P14" s="34"/>
    </row>
    <row r="15" spans="1:16">
      <c r="A15" s="67" t="s">
        <v>9</v>
      </c>
      <c r="B15" s="68"/>
      <c r="C15" s="56" t="s">
        <v>9</v>
      </c>
      <c r="D15" s="117" t="str">
        <f t="shared" si="0"/>
        <v/>
      </c>
      <c r="E15" s="74"/>
      <c r="F15" s="57" t="s">
        <v>31</v>
      </c>
      <c r="G15" s="58"/>
      <c r="H15" s="33"/>
      <c r="I15" s="33"/>
      <c r="J15" s="33"/>
      <c r="K15" s="58"/>
      <c r="L15" s="58"/>
      <c r="M15" s="58"/>
      <c r="N15" s="58"/>
      <c r="O15" s="61"/>
      <c r="P15" s="71"/>
    </row>
    <row r="16" spans="1:16">
      <c r="A16" s="67" t="s">
        <v>9</v>
      </c>
      <c r="B16" s="68"/>
      <c r="C16" s="56" t="s">
        <v>9</v>
      </c>
      <c r="D16" s="117" t="str">
        <f t="shared" si="0"/>
        <v/>
      </c>
      <c r="E16" s="74"/>
      <c r="F16" s="57" t="s">
        <v>32</v>
      </c>
      <c r="G16" s="58"/>
      <c r="H16" s="33"/>
      <c r="I16" s="33"/>
      <c r="J16" s="33"/>
      <c r="K16" s="58"/>
      <c r="L16" s="58"/>
      <c r="M16" s="58"/>
      <c r="N16" s="58"/>
      <c r="O16" s="61"/>
      <c r="P16" s="71"/>
    </row>
    <row r="17" spans="1:16">
      <c r="A17" s="69" t="s">
        <v>9</v>
      </c>
      <c r="B17" s="70"/>
      <c r="C17" s="37" t="s">
        <v>9</v>
      </c>
      <c r="D17" s="117" t="str">
        <f t="shared" si="0"/>
        <v/>
      </c>
      <c r="E17" s="92"/>
      <c r="F17" s="39" t="s">
        <v>33</v>
      </c>
      <c r="G17" s="41"/>
      <c r="H17" s="40"/>
      <c r="I17" s="40"/>
      <c r="J17" s="40"/>
      <c r="K17" s="41"/>
      <c r="L17" s="41"/>
      <c r="M17" s="41"/>
      <c r="N17" s="41"/>
      <c r="O17" s="44"/>
      <c r="P17" s="71"/>
    </row>
    <row r="18" spans="1:16">
      <c r="A18" s="86" t="s">
        <v>11</v>
      </c>
      <c r="B18" s="87" t="s">
        <v>13</v>
      </c>
      <c r="C18" s="64" t="s">
        <v>34</v>
      </c>
      <c r="D18" s="117" t="str">
        <f t="shared" si="0"/>
        <v>1470-0004</v>
      </c>
      <c r="E18" s="65" t="s">
        <v>35</v>
      </c>
      <c r="F18" s="66"/>
      <c r="G18" s="52"/>
      <c r="H18" s="53"/>
      <c r="I18" s="53"/>
      <c r="J18" s="53"/>
      <c r="K18" s="52" t="s">
        <v>17</v>
      </c>
      <c r="L18" s="52" t="s">
        <v>17</v>
      </c>
      <c r="M18" s="52" t="s">
        <v>17</v>
      </c>
      <c r="N18" s="52" t="s">
        <v>17</v>
      </c>
      <c r="O18" s="51" t="s">
        <v>36</v>
      </c>
      <c r="P18" s="34"/>
    </row>
    <row r="19" spans="1:16">
      <c r="A19" s="67"/>
      <c r="B19" s="68"/>
      <c r="C19" s="56"/>
      <c r="D19" s="117" t="str">
        <f t="shared" si="0"/>
        <v/>
      </c>
      <c r="E19" s="71"/>
      <c r="F19" s="57" t="s">
        <v>37</v>
      </c>
      <c r="G19" s="58"/>
      <c r="H19" s="73"/>
      <c r="I19" s="73"/>
      <c r="J19" s="73"/>
      <c r="K19" s="58"/>
      <c r="L19" s="58"/>
      <c r="M19" s="58"/>
      <c r="N19" s="58"/>
      <c r="O19" s="61"/>
      <c r="P19" s="75"/>
    </row>
    <row r="20" spans="1:16">
      <c r="A20" s="67"/>
      <c r="B20" s="68"/>
      <c r="C20" s="56"/>
      <c r="D20" s="117" t="str">
        <f t="shared" si="0"/>
        <v/>
      </c>
      <c r="E20" s="71"/>
      <c r="F20" s="57" t="s">
        <v>38</v>
      </c>
      <c r="G20" s="58"/>
      <c r="H20" s="73"/>
      <c r="I20" s="73"/>
      <c r="J20" s="73"/>
      <c r="K20" s="58"/>
      <c r="L20" s="58"/>
      <c r="M20" s="58"/>
      <c r="N20" s="58"/>
      <c r="O20" s="61"/>
      <c r="P20" s="75"/>
    </row>
    <row r="21" spans="1:16">
      <c r="A21" s="67"/>
      <c r="B21" s="68"/>
      <c r="C21" s="56"/>
      <c r="D21" s="117" t="str">
        <f t="shared" si="0"/>
        <v/>
      </c>
      <c r="E21" s="71"/>
      <c r="F21" s="57" t="s">
        <v>39</v>
      </c>
      <c r="G21" s="58"/>
      <c r="H21" s="73"/>
      <c r="I21" s="73"/>
      <c r="J21" s="73"/>
      <c r="K21" s="58"/>
      <c r="L21" s="58"/>
      <c r="M21" s="58"/>
      <c r="N21" s="58"/>
      <c r="O21" s="61"/>
      <c r="P21" s="75"/>
    </row>
    <row r="22" spans="1:16">
      <c r="A22" s="69"/>
      <c r="B22" s="70"/>
      <c r="C22" s="37"/>
      <c r="D22" s="117" t="str">
        <f t="shared" si="0"/>
        <v/>
      </c>
      <c r="E22" s="38"/>
      <c r="F22" s="39" t="s">
        <v>40</v>
      </c>
      <c r="G22" s="41"/>
      <c r="H22" s="40"/>
      <c r="I22" s="40"/>
      <c r="J22" s="40"/>
      <c r="K22" s="41"/>
      <c r="L22" s="41"/>
      <c r="M22" s="41"/>
      <c r="N22" s="41"/>
      <c r="O22" s="44"/>
      <c r="P22" s="75"/>
    </row>
    <row r="23" spans="1:16">
      <c r="A23" s="86" t="s">
        <v>11</v>
      </c>
      <c r="B23" s="87" t="s">
        <v>13</v>
      </c>
      <c r="C23" s="64" t="s">
        <v>41</v>
      </c>
      <c r="D23" s="117" t="str">
        <f t="shared" si="0"/>
        <v>1470-0005</v>
      </c>
      <c r="E23" s="65" t="s">
        <v>42</v>
      </c>
      <c r="F23" s="66"/>
      <c r="G23" s="52"/>
      <c r="H23" s="53"/>
      <c r="I23" s="53"/>
      <c r="J23" s="53" t="s">
        <v>43</v>
      </c>
      <c r="K23" s="52"/>
      <c r="L23" s="52"/>
      <c r="M23" s="52"/>
      <c r="N23" s="52"/>
      <c r="O23" s="51"/>
      <c r="P23" s="34"/>
    </row>
    <row r="24" spans="1:16">
      <c r="A24" s="67"/>
      <c r="B24" s="68"/>
      <c r="C24" s="56"/>
      <c r="D24" s="117" t="str">
        <f t="shared" si="0"/>
        <v/>
      </c>
      <c r="E24" s="34"/>
      <c r="F24" s="57" t="s">
        <v>44</v>
      </c>
      <c r="G24" s="58"/>
      <c r="H24" s="33"/>
      <c r="I24" s="33"/>
      <c r="J24" s="33"/>
      <c r="K24" s="58"/>
      <c r="L24" s="58"/>
      <c r="M24" s="58"/>
      <c r="N24" s="58"/>
      <c r="O24" s="61"/>
      <c r="P24" s="75"/>
    </row>
    <row r="25" spans="1:16">
      <c r="A25" s="67"/>
      <c r="B25" s="68"/>
      <c r="C25" s="56"/>
      <c r="D25" s="117" t="str">
        <f t="shared" si="0"/>
        <v/>
      </c>
      <c r="E25" s="34"/>
      <c r="F25" s="57" t="s">
        <v>45</v>
      </c>
      <c r="G25" s="58"/>
      <c r="H25" s="33"/>
      <c r="I25" s="33"/>
      <c r="J25" s="33"/>
      <c r="K25" s="58"/>
      <c r="L25" s="58"/>
      <c r="M25" s="58"/>
      <c r="N25" s="58"/>
      <c r="O25" s="61"/>
      <c r="P25" s="75"/>
    </row>
    <row r="26" spans="1:16">
      <c r="A26" s="67"/>
      <c r="B26" s="68"/>
      <c r="C26" s="56"/>
      <c r="D26" s="117" t="str">
        <f t="shared" si="0"/>
        <v/>
      </c>
      <c r="E26" s="34"/>
      <c r="F26" s="57" t="s">
        <v>46</v>
      </c>
      <c r="G26" s="58"/>
      <c r="H26" s="33"/>
      <c r="I26" s="33"/>
      <c r="J26" s="33"/>
      <c r="K26" s="58"/>
      <c r="L26" s="58"/>
      <c r="M26" s="58"/>
      <c r="N26" s="58"/>
      <c r="O26" s="61"/>
      <c r="P26" s="75"/>
    </row>
    <row r="27" spans="1:16">
      <c r="A27" s="67"/>
      <c r="B27" s="68"/>
      <c r="C27" s="56"/>
      <c r="D27" s="117" t="str">
        <f t="shared" si="0"/>
        <v/>
      </c>
      <c r="E27" s="34"/>
      <c r="F27" s="57" t="s">
        <v>47</v>
      </c>
      <c r="G27" s="58"/>
      <c r="H27" s="33"/>
      <c r="I27" s="33"/>
      <c r="J27" s="33"/>
      <c r="K27" s="58"/>
      <c r="L27" s="58"/>
      <c r="M27" s="58"/>
      <c r="N27" s="58"/>
      <c r="O27" s="61"/>
      <c r="P27" s="75"/>
    </row>
    <row r="28" spans="1:16">
      <c r="A28" s="67"/>
      <c r="B28" s="68"/>
      <c r="C28" s="56"/>
      <c r="D28" s="117" t="str">
        <f t="shared" si="0"/>
        <v/>
      </c>
      <c r="E28" s="34"/>
      <c r="F28" s="57" t="s">
        <v>48</v>
      </c>
      <c r="G28" s="58"/>
      <c r="H28" s="33"/>
      <c r="I28" s="33"/>
      <c r="J28" s="33"/>
      <c r="K28" s="58"/>
      <c r="L28" s="58"/>
      <c r="M28" s="58"/>
      <c r="N28" s="58"/>
      <c r="O28" s="61"/>
      <c r="P28" s="75"/>
    </row>
    <row r="29" spans="1:16">
      <c r="A29" s="69"/>
      <c r="B29" s="70"/>
      <c r="C29" s="37"/>
      <c r="D29" s="117" t="str">
        <f t="shared" si="0"/>
        <v/>
      </c>
      <c r="E29" s="38"/>
      <c r="F29" s="39" t="s">
        <v>49</v>
      </c>
      <c r="G29" s="41"/>
      <c r="H29" s="40"/>
      <c r="I29" s="40"/>
      <c r="J29" s="40"/>
      <c r="K29" s="41"/>
      <c r="L29" s="41"/>
      <c r="M29" s="41"/>
      <c r="N29" s="41"/>
      <c r="O29" s="44"/>
      <c r="P29" s="75"/>
    </row>
    <row r="30" spans="1:16">
      <c r="A30" s="14" t="s">
        <v>50</v>
      </c>
      <c r="B30" s="15"/>
      <c r="C30" s="16" t="s">
        <v>9</v>
      </c>
      <c r="D30" s="117" t="str">
        <f t="shared" si="0"/>
        <v>1471</v>
      </c>
      <c r="E30" s="45" t="s">
        <v>51</v>
      </c>
      <c r="F30" s="46"/>
      <c r="G30" s="32"/>
      <c r="H30" s="47"/>
      <c r="I30" s="47"/>
      <c r="J30" s="47"/>
      <c r="K30" s="17"/>
      <c r="L30" s="17"/>
      <c r="M30" s="17"/>
      <c r="N30" s="17"/>
      <c r="O30" s="21"/>
      <c r="P30" s="23"/>
    </row>
    <row r="31" spans="1:16">
      <c r="A31" s="86" t="s">
        <v>50</v>
      </c>
      <c r="B31" s="87" t="s">
        <v>13</v>
      </c>
      <c r="C31" s="64" t="s">
        <v>14</v>
      </c>
      <c r="D31" s="117" t="str">
        <f t="shared" si="0"/>
        <v>1471-0001</v>
      </c>
      <c r="E31" s="65" t="s">
        <v>52</v>
      </c>
      <c r="F31" s="66"/>
      <c r="G31" s="52" t="s">
        <v>53</v>
      </c>
      <c r="H31" s="111" t="s">
        <v>54</v>
      </c>
      <c r="I31" s="111" t="s">
        <v>55</v>
      </c>
      <c r="J31" s="53" t="s">
        <v>23</v>
      </c>
      <c r="K31" s="52" t="s">
        <v>17</v>
      </c>
      <c r="L31" s="52" t="s">
        <v>17</v>
      </c>
      <c r="M31" s="52"/>
      <c r="N31" s="52"/>
      <c r="O31" s="51"/>
    </row>
    <row r="32" spans="1:16">
      <c r="A32" s="67"/>
      <c r="B32" s="68"/>
      <c r="C32" s="56"/>
      <c r="D32" s="117" t="str">
        <f t="shared" si="0"/>
        <v/>
      </c>
      <c r="E32" s="59"/>
      <c r="F32" s="60"/>
      <c r="G32" s="58"/>
      <c r="H32" s="113"/>
      <c r="I32" s="113"/>
      <c r="J32" s="33"/>
      <c r="K32" s="58"/>
      <c r="L32" s="58"/>
      <c r="M32" s="58"/>
      <c r="N32" s="58"/>
      <c r="O32" s="61"/>
    </row>
    <row r="33" spans="1:16">
      <c r="A33" s="67"/>
      <c r="B33" s="68"/>
      <c r="C33" s="56"/>
      <c r="D33" s="117" t="str">
        <f t="shared" si="0"/>
        <v/>
      </c>
      <c r="E33" s="59"/>
      <c r="F33" s="60"/>
      <c r="G33" s="58"/>
      <c r="H33" s="33"/>
      <c r="I33" s="33"/>
      <c r="J33" s="33"/>
      <c r="K33" s="58"/>
      <c r="L33" s="58"/>
      <c r="M33" s="58"/>
      <c r="N33" s="58"/>
      <c r="O33" s="61"/>
    </row>
    <row r="34" spans="1:16">
      <c r="A34" s="67"/>
      <c r="B34" s="68"/>
      <c r="C34" s="56"/>
      <c r="D34" s="117" t="str">
        <f t="shared" si="0"/>
        <v/>
      </c>
      <c r="E34" s="59"/>
      <c r="F34" s="60"/>
      <c r="G34" s="58"/>
      <c r="H34" s="33"/>
      <c r="I34" s="33"/>
      <c r="J34" s="33"/>
      <c r="K34" s="58"/>
      <c r="L34" s="58"/>
      <c r="M34" s="58"/>
      <c r="N34" s="58"/>
      <c r="O34" s="61"/>
    </row>
    <row r="35" spans="1:16">
      <c r="A35" s="69"/>
      <c r="B35" s="70"/>
      <c r="C35" s="37"/>
      <c r="D35" s="117" t="str">
        <f t="shared" si="0"/>
        <v/>
      </c>
      <c r="E35" s="42"/>
      <c r="F35" s="43"/>
      <c r="G35" s="41"/>
      <c r="H35" s="40"/>
      <c r="I35" s="40"/>
      <c r="J35" s="40"/>
      <c r="K35" s="41"/>
      <c r="L35" s="41"/>
      <c r="M35" s="41"/>
      <c r="N35" s="41"/>
      <c r="O35" s="44"/>
    </row>
    <row r="36" spans="1:16">
      <c r="A36" s="86" t="s">
        <v>50</v>
      </c>
      <c r="B36" s="87" t="s">
        <v>13</v>
      </c>
      <c r="C36" s="64" t="s">
        <v>21</v>
      </c>
      <c r="D36" s="117" t="str">
        <f t="shared" si="0"/>
        <v>1471-0002</v>
      </c>
      <c r="E36" s="65" t="s">
        <v>56</v>
      </c>
      <c r="F36" s="66"/>
      <c r="G36" s="52" t="s">
        <v>58</v>
      </c>
      <c r="H36" s="111" t="s">
        <v>54</v>
      </c>
      <c r="I36" s="111" t="s">
        <v>55</v>
      </c>
      <c r="J36" s="53" t="s">
        <v>23</v>
      </c>
      <c r="K36" s="52"/>
      <c r="L36" s="52"/>
      <c r="M36" s="52" t="s">
        <v>17</v>
      </c>
      <c r="N36" s="52"/>
      <c r="O36" s="51"/>
    </row>
    <row r="37" spans="1:16">
      <c r="A37" s="67"/>
      <c r="B37" s="68"/>
      <c r="C37" s="56"/>
      <c r="D37" s="117" t="str">
        <f t="shared" si="0"/>
        <v/>
      </c>
      <c r="E37" s="59"/>
      <c r="F37" s="60"/>
      <c r="G37" s="58"/>
      <c r="H37" s="33"/>
      <c r="I37" s="33"/>
      <c r="J37" s="33"/>
      <c r="K37" s="58"/>
      <c r="L37" s="58"/>
      <c r="M37" s="58"/>
      <c r="N37" s="58"/>
      <c r="O37" s="61"/>
    </row>
    <row r="38" spans="1:16">
      <c r="A38" s="67"/>
      <c r="B38" s="68"/>
      <c r="C38" s="56"/>
      <c r="D38" s="117" t="str">
        <f t="shared" si="0"/>
        <v/>
      </c>
      <c r="E38" s="59"/>
      <c r="F38" s="60"/>
      <c r="G38" s="58"/>
      <c r="H38" s="33"/>
      <c r="I38" s="33"/>
      <c r="J38" s="33"/>
      <c r="K38" s="58"/>
      <c r="L38" s="58"/>
      <c r="M38" s="58"/>
      <c r="N38" s="58"/>
      <c r="O38" s="61"/>
    </row>
    <row r="39" spans="1:16">
      <c r="A39" s="69"/>
      <c r="B39" s="70"/>
      <c r="C39" s="37"/>
      <c r="D39" s="117" t="str">
        <f t="shared" si="0"/>
        <v/>
      </c>
      <c r="E39" s="42"/>
      <c r="F39" s="43"/>
      <c r="G39" s="41"/>
      <c r="H39" s="40"/>
      <c r="I39" s="40"/>
      <c r="J39" s="40"/>
      <c r="K39" s="41"/>
      <c r="L39" s="41"/>
      <c r="M39" s="41"/>
      <c r="N39" s="41"/>
      <c r="O39" s="44"/>
    </row>
    <row r="40" spans="1:16">
      <c r="A40" s="30" t="s">
        <v>50</v>
      </c>
      <c r="B40" s="31" t="s">
        <v>13</v>
      </c>
      <c r="C40" s="26" t="s">
        <v>29</v>
      </c>
      <c r="D40" s="117" t="str">
        <f t="shared" si="0"/>
        <v>1471-0003</v>
      </c>
      <c r="E40" s="24" t="s">
        <v>59</v>
      </c>
      <c r="F40" s="25"/>
      <c r="G40" s="17" t="s">
        <v>60</v>
      </c>
      <c r="H40" s="111" t="s">
        <v>54</v>
      </c>
      <c r="I40" s="111" t="s">
        <v>55</v>
      </c>
      <c r="J40" s="22" t="s">
        <v>23</v>
      </c>
      <c r="K40" s="76"/>
      <c r="L40" s="76" t="s">
        <v>61</v>
      </c>
      <c r="M40" s="17" t="s">
        <v>17</v>
      </c>
      <c r="N40" s="17" t="s">
        <v>17</v>
      </c>
      <c r="O40" s="21"/>
    </row>
    <row r="41" spans="1:16">
      <c r="A41" s="48" t="s">
        <v>50</v>
      </c>
      <c r="B41" s="49" t="s">
        <v>13</v>
      </c>
      <c r="C41" s="64" t="s">
        <v>62</v>
      </c>
      <c r="D41" s="117" t="str">
        <f t="shared" si="0"/>
        <v>1471-7000</v>
      </c>
      <c r="E41" s="65" t="s">
        <v>63</v>
      </c>
      <c r="F41" s="66"/>
      <c r="G41" s="52" t="s">
        <v>64</v>
      </c>
      <c r="H41" s="111" t="s">
        <v>54</v>
      </c>
      <c r="I41" s="111" t="s">
        <v>55</v>
      </c>
      <c r="J41" s="53" t="s">
        <v>23</v>
      </c>
      <c r="K41" s="52"/>
      <c r="L41" s="84" t="s">
        <v>61</v>
      </c>
      <c r="M41" s="52" t="s">
        <v>17</v>
      </c>
      <c r="N41" s="52" t="s">
        <v>17</v>
      </c>
      <c r="O41" s="51"/>
    </row>
    <row r="42" spans="1:16">
      <c r="A42" s="35"/>
      <c r="B42" s="36"/>
      <c r="C42" s="37"/>
      <c r="D42" s="117" t="str">
        <f t="shared" si="0"/>
        <v/>
      </c>
      <c r="E42" s="42"/>
      <c r="F42" s="43"/>
      <c r="G42" s="41"/>
      <c r="H42" s="40"/>
      <c r="I42" s="40"/>
      <c r="J42" s="40"/>
      <c r="K42" s="41"/>
      <c r="L42" s="85"/>
      <c r="M42" s="41"/>
      <c r="N42" s="41"/>
      <c r="O42" s="44"/>
    </row>
    <row r="43" spans="1:16">
      <c r="A43" s="48" t="s">
        <v>50</v>
      </c>
      <c r="B43" s="49" t="s">
        <v>13</v>
      </c>
      <c r="C43" s="64" t="s">
        <v>65</v>
      </c>
      <c r="D43" s="117" t="str">
        <f t="shared" si="0"/>
        <v>1471-7001</v>
      </c>
      <c r="E43" s="65" t="s">
        <v>66</v>
      </c>
      <c r="F43" s="66"/>
      <c r="G43" s="52" t="s">
        <v>67</v>
      </c>
      <c r="H43" s="111" t="s">
        <v>54</v>
      </c>
      <c r="I43" s="111" t="s">
        <v>55</v>
      </c>
      <c r="J43" s="53" t="s">
        <v>23</v>
      </c>
      <c r="K43" s="52"/>
      <c r="L43" s="52"/>
      <c r="M43" s="52" t="s">
        <v>17</v>
      </c>
      <c r="N43" s="52" t="s">
        <v>17</v>
      </c>
      <c r="O43" s="51"/>
    </row>
    <row r="44" spans="1:16">
      <c r="A44" s="54"/>
      <c r="B44" s="55"/>
      <c r="C44" s="56"/>
      <c r="D44" s="117" t="str">
        <f t="shared" si="0"/>
        <v/>
      </c>
      <c r="E44" s="59"/>
      <c r="F44" s="60"/>
      <c r="G44" s="58"/>
      <c r="H44" s="33"/>
      <c r="I44" s="33"/>
      <c r="J44" s="33"/>
      <c r="K44" s="58"/>
      <c r="L44" s="58"/>
      <c r="M44" s="58"/>
      <c r="N44" s="58"/>
      <c r="O44" s="61"/>
    </row>
    <row r="45" spans="1:16">
      <c r="A45" s="35"/>
      <c r="B45" s="36"/>
      <c r="C45" s="37"/>
      <c r="D45" s="117" t="str">
        <f t="shared" si="0"/>
        <v/>
      </c>
      <c r="E45" s="42"/>
      <c r="F45" s="43"/>
      <c r="G45" s="41"/>
      <c r="H45" s="40"/>
      <c r="I45" s="40"/>
      <c r="J45" s="40"/>
      <c r="K45" s="41"/>
      <c r="L45" s="41"/>
      <c r="M45" s="41"/>
      <c r="N45" s="41"/>
      <c r="O45" s="44"/>
    </row>
    <row r="46" spans="1:16">
      <c r="A46" s="48" t="s">
        <v>50</v>
      </c>
      <c r="B46" s="49" t="s">
        <v>13</v>
      </c>
      <c r="C46" s="64">
        <v>7002</v>
      </c>
      <c r="D46" s="117" t="str">
        <f t="shared" si="0"/>
        <v>1471-7002</v>
      </c>
      <c r="E46" s="65" t="s">
        <v>68</v>
      </c>
      <c r="F46" s="66"/>
      <c r="G46" s="52" t="s">
        <v>69</v>
      </c>
      <c r="H46" s="111" t="s">
        <v>54</v>
      </c>
      <c r="I46" s="111" t="s">
        <v>55</v>
      </c>
      <c r="J46" s="53" t="s">
        <v>23</v>
      </c>
      <c r="K46" s="52"/>
      <c r="L46" s="52"/>
      <c r="M46" s="52" t="s">
        <v>17</v>
      </c>
      <c r="N46" s="52" t="s">
        <v>17</v>
      </c>
      <c r="O46" s="51"/>
    </row>
    <row r="47" spans="1:16">
      <c r="A47" s="54"/>
      <c r="B47" s="55"/>
      <c r="C47" s="56"/>
      <c r="D47" s="117" t="str">
        <f t="shared" si="0"/>
        <v/>
      </c>
      <c r="E47" s="59"/>
      <c r="F47" s="60"/>
      <c r="G47" s="58"/>
      <c r="H47" s="33"/>
      <c r="I47" s="33"/>
      <c r="J47" s="33"/>
      <c r="K47" s="58"/>
      <c r="L47" s="58"/>
      <c r="M47" s="58"/>
      <c r="N47" s="58"/>
      <c r="O47" s="61"/>
      <c r="P47" s="34"/>
    </row>
    <row r="48" spans="1:16">
      <c r="A48" s="35"/>
      <c r="B48" s="36"/>
      <c r="C48" s="37"/>
      <c r="D48" s="117" t="str">
        <f t="shared" si="0"/>
        <v/>
      </c>
      <c r="E48" s="42"/>
      <c r="F48" s="43"/>
      <c r="G48" s="41"/>
      <c r="H48" s="40"/>
      <c r="I48" s="40"/>
      <c r="J48" s="40"/>
      <c r="K48" s="41"/>
      <c r="L48" s="41"/>
      <c r="M48" s="41"/>
      <c r="N48" s="41"/>
      <c r="O48" s="44"/>
      <c r="P48" s="34"/>
    </row>
    <row r="49" spans="1:16">
      <c r="A49" s="48" t="s">
        <v>50</v>
      </c>
      <c r="B49" s="49" t="s">
        <v>13</v>
      </c>
      <c r="C49" s="64">
        <v>7003</v>
      </c>
      <c r="D49" s="117" t="str">
        <f t="shared" si="0"/>
        <v>1471-7003</v>
      </c>
      <c r="E49" s="65" t="s">
        <v>70</v>
      </c>
      <c r="F49" s="66"/>
      <c r="G49" s="52" t="s">
        <v>71</v>
      </c>
      <c r="H49" s="111" t="s">
        <v>54</v>
      </c>
      <c r="I49" s="111" t="s">
        <v>55</v>
      </c>
      <c r="J49" s="53" t="s">
        <v>23</v>
      </c>
      <c r="K49" s="52"/>
      <c r="L49" s="52"/>
      <c r="M49" s="52"/>
      <c r="N49" s="52" t="s">
        <v>17</v>
      </c>
      <c r="O49" s="51"/>
      <c r="P49" s="34"/>
    </row>
    <row r="50" spans="1:16">
      <c r="A50" s="54"/>
      <c r="B50" s="55"/>
      <c r="C50" s="56"/>
      <c r="D50" s="117" t="str">
        <f t="shared" si="0"/>
        <v/>
      </c>
      <c r="E50" s="34"/>
      <c r="F50" s="60"/>
      <c r="G50" s="58"/>
      <c r="H50" s="33"/>
      <c r="I50" s="33"/>
      <c r="J50" s="33"/>
      <c r="K50" s="58"/>
      <c r="L50" s="58"/>
      <c r="M50" s="58"/>
      <c r="N50" s="58"/>
      <c r="O50" s="61"/>
      <c r="P50" s="34"/>
    </row>
    <row r="51" spans="1:16">
      <c r="A51" s="35"/>
      <c r="B51" s="36"/>
      <c r="C51" s="37"/>
      <c r="D51" s="117" t="str">
        <f t="shared" si="0"/>
        <v/>
      </c>
      <c r="E51" s="34"/>
      <c r="F51" s="60"/>
      <c r="G51" s="41"/>
      <c r="H51" s="40"/>
      <c r="I51" s="40"/>
      <c r="J51" s="40"/>
      <c r="K51" s="41"/>
      <c r="L51" s="41"/>
      <c r="M51" s="41"/>
      <c r="N51" s="41"/>
      <c r="O51" s="44"/>
      <c r="P51" s="34"/>
    </row>
    <row r="52" spans="1:16">
      <c r="A52" s="48" t="s">
        <v>50</v>
      </c>
      <c r="B52" s="49" t="s">
        <v>13</v>
      </c>
      <c r="C52" s="64">
        <v>7004</v>
      </c>
      <c r="D52" s="117" t="str">
        <f t="shared" si="0"/>
        <v>1471-7004</v>
      </c>
      <c r="E52" s="65" t="s">
        <v>72</v>
      </c>
      <c r="F52" s="66"/>
      <c r="G52" s="52" t="s">
        <v>73</v>
      </c>
      <c r="H52" s="111" t="s">
        <v>54</v>
      </c>
      <c r="I52" s="111" t="s">
        <v>55</v>
      </c>
      <c r="J52" s="53" t="s">
        <v>23</v>
      </c>
      <c r="K52" s="52"/>
      <c r="L52" s="52"/>
      <c r="M52" s="52"/>
      <c r="N52" s="52" t="s">
        <v>17</v>
      </c>
      <c r="O52" s="51"/>
      <c r="P52" s="34"/>
    </row>
    <row r="53" spans="1:16">
      <c r="A53" s="54"/>
      <c r="B53" s="55"/>
      <c r="C53" s="56"/>
      <c r="D53" s="117" t="str">
        <f t="shared" si="0"/>
        <v/>
      </c>
      <c r="E53" s="59"/>
      <c r="F53" s="60"/>
      <c r="G53" s="58"/>
      <c r="H53" s="33"/>
      <c r="I53" s="33"/>
      <c r="J53" s="33"/>
      <c r="K53" s="58"/>
      <c r="L53" s="58"/>
      <c r="M53" s="58"/>
      <c r="N53" s="58"/>
      <c r="O53" s="61"/>
      <c r="P53" s="34"/>
    </row>
    <row r="54" spans="1:16">
      <c r="A54" s="54"/>
      <c r="B54" s="55"/>
      <c r="C54" s="56"/>
      <c r="D54" s="117" t="str">
        <f t="shared" si="0"/>
        <v/>
      </c>
      <c r="E54" s="59"/>
      <c r="F54" s="60"/>
      <c r="G54" s="58"/>
      <c r="H54" s="33"/>
      <c r="I54" s="33"/>
      <c r="J54" s="33"/>
      <c r="K54" s="58"/>
      <c r="L54" s="58"/>
      <c r="M54" s="58"/>
      <c r="N54" s="58"/>
      <c r="O54" s="61"/>
      <c r="P54" s="34"/>
    </row>
    <row r="55" spans="1:16">
      <c r="A55" s="54"/>
      <c r="B55" s="55"/>
      <c r="C55" s="56"/>
      <c r="D55" s="117" t="str">
        <f t="shared" si="0"/>
        <v/>
      </c>
      <c r="E55" s="59"/>
      <c r="F55" s="60"/>
      <c r="G55" s="58"/>
      <c r="H55" s="33"/>
      <c r="I55" s="33"/>
      <c r="J55" s="33"/>
      <c r="K55" s="58"/>
      <c r="L55" s="58"/>
      <c r="M55" s="58"/>
      <c r="N55" s="58"/>
      <c r="O55" s="61"/>
      <c r="P55" s="34"/>
    </row>
    <row r="56" spans="1:16">
      <c r="A56" s="54"/>
      <c r="B56" s="55"/>
      <c r="C56" s="56"/>
      <c r="D56" s="117" t="str">
        <f t="shared" si="0"/>
        <v/>
      </c>
      <c r="E56" s="59"/>
      <c r="F56" s="60"/>
      <c r="G56" s="58"/>
      <c r="H56" s="33"/>
      <c r="I56" s="33"/>
      <c r="J56" s="33"/>
      <c r="K56" s="58"/>
      <c r="L56" s="58"/>
      <c r="M56" s="58"/>
      <c r="N56" s="58"/>
      <c r="O56" s="61"/>
      <c r="P56" s="34"/>
    </row>
    <row r="57" spans="1:16">
      <c r="A57" s="35"/>
      <c r="B57" s="36"/>
      <c r="C57" s="37"/>
      <c r="D57" s="117" t="str">
        <f t="shared" si="0"/>
        <v/>
      </c>
      <c r="E57" s="42"/>
      <c r="F57" s="43"/>
      <c r="G57" s="41"/>
      <c r="H57" s="40"/>
      <c r="I57" s="40"/>
      <c r="J57" s="40"/>
      <c r="K57" s="41"/>
      <c r="L57" s="41"/>
      <c r="M57" s="41"/>
      <c r="N57" s="41"/>
      <c r="O57" s="44"/>
      <c r="P57" s="34"/>
    </row>
    <row r="58" spans="1:16">
      <c r="A58" s="18" t="s">
        <v>50</v>
      </c>
      <c r="B58" s="19" t="s">
        <v>13</v>
      </c>
      <c r="C58" s="26" t="s">
        <v>29</v>
      </c>
      <c r="D58" s="117" t="str">
        <f t="shared" si="0"/>
        <v>1471-0003</v>
      </c>
      <c r="E58" s="27" t="s">
        <v>74</v>
      </c>
      <c r="F58" s="28"/>
      <c r="G58" s="17" t="s">
        <v>75</v>
      </c>
      <c r="H58" s="111" t="s">
        <v>54</v>
      </c>
      <c r="I58" s="111" t="s">
        <v>55</v>
      </c>
      <c r="J58" s="22" t="s">
        <v>23</v>
      </c>
      <c r="K58" s="17"/>
      <c r="L58" s="17" t="s">
        <v>76</v>
      </c>
      <c r="M58" s="17" t="s">
        <v>17</v>
      </c>
      <c r="N58" s="17" t="s">
        <v>17</v>
      </c>
      <c r="O58" s="90"/>
      <c r="P58" s="29"/>
    </row>
    <row r="59" spans="1:16">
      <c r="A59" s="18" t="s">
        <v>50</v>
      </c>
      <c r="B59" s="19" t="s">
        <v>13</v>
      </c>
      <c r="C59" s="26" t="s">
        <v>77</v>
      </c>
      <c r="D59" s="117" t="str">
        <f t="shared" si="0"/>
        <v>1471-0104</v>
      </c>
      <c r="E59" s="27" t="s">
        <v>78</v>
      </c>
      <c r="F59" s="28"/>
      <c r="G59" s="17" t="s">
        <v>79</v>
      </c>
      <c r="H59" s="111" t="s">
        <v>54</v>
      </c>
      <c r="I59" s="111" t="s">
        <v>55</v>
      </c>
      <c r="J59" s="22" t="s">
        <v>23</v>
      </c>
      <c r="K59" s="17"/>
      <c r="L59" s="17" t="s">
        <v>76</v>
      </c>
      <c r="M59" s="17" t="s">
        <v>17</v>
      </c>
      <c r="N59" s="17" t="s">
        <v>17</v>
      </c>
      <c r="O59" s="90"/>
      <c r="P59" s="29"/>
    </row>
    <row r="60" spans="1:16">
      <c r="A60" s="18" t="s">
        <v>50</v>
      </c>
      <c r="B60" s="19" t="s">
        <v>13</v>
      </c>
      <c r="C60" s="26" t="s">
        <v>80</v>
      </c>
      <c r="D60" s="117" t="str">
        <f t="shared" si="0"/>
        <v>1471-0205</v>
      </c>
      <c r="E60" s="27" t="s">
        <v>81</v>
      </c>
      <c r="F60" s="28"/>
      <c r="G60" s="17" t="s">
        <v>82</v>
      </c>
      <c r="H60" s="111" t="s">
        <v>54</v>
      </c>
      <c r="I60" s="111" t="s">
        <v>55</v>
      </c>
      <c r="J60" s="22" t="s">
        <v>23</v>
      </c>
      <c r="K60" s="17" t="s">
        <v>17</v>
      </c>
      <c r="L60" s="17" t="s">
        <v>76</v>
      </c>
      <c r="M60" s="17"/>
      <c r="N60" s="17"/>
      <c r="O60" s="90"/>
      <c r="P60" s="29"/>
    </row>
    <row r="61" spans="1:16">
      <c r="A61" s="18" t="s">
        <v>50</v>
      </c>
      <c r="B61" s="19" t="s">
        <v>13</v>
      </c>
      <c r="C61" s="26" t="s">
        <v>83</v>
      </c>
      <c r="D61" s="117" t="str">
        <f t="shared" si="0"/>
        <v>1471-0306</v>
      </c>
      <c r="E61" s="27" t="s">
        <v>84</v>
      </c>
      <c r="F61" s="28"/>
      <c r="G61" s="17" t="s">
        <v>85</v>
      </c>
      <c r="H61" s="111" t="s">
        <v>54</v>
      </c>
      <c r="I61" s="111" t="s">
        <v>55</v>
      </c>
      <c r="J61" s="22" t="s">
        <v>23</v>
      </c>
      <c r="K61" s="17" t="s">
        <v>17</v>
      </c>
      <c r="L61" s="17" t="s">
        <v>76</v>
      </c>
      <c r="M61" s="17"/>
      <c r="N61" s="17"/>
      <c r="O61" s="90"/>
      <c r="P61" s="29"/>
    </row>
    <row r="62" spans="1:16">
      <c r="A62" s="18" t="s">
        <v>50</v>
      </c>
      <c r="B62" s="19" t="s">
        <v>13</v>
      </c>
      <c r="C62" s="26" t="s">
        <v>86</v>
      </c>
      <c r="D62" s="117" t="str">
        <f t="shared" si="0"/>
        <v>1471-0407</v>
      </c>
      <c r="E62" s="27" t="s">
        <v>87</v>
      </c>
      <c r="F62" s="28"/>
      <c r="G62" s="17" t="s">
        <v>88</v>
      </c>
      <c r="H62" s="111" t="s">
        <v>54</v>
      </c>
      <c r="I62" s="111" t="s">
        <v>55</v>
      </c>
      <c r="J62" s="22" t="s">
        <v>23</v>
      </c>
      <c r="K62" s="17"/>
      <c r="L62" s="17" t="s">
        <v>76</v>
      </c>
      <c r="M62" s="17" t="s">
        <v>17</v>
      </c>
      <c r="N62" s="17" t="s">
        <v>17</v>
      </c>
      <c r="O62" s="90"/>
      <c r="P62" s="29"/>
    </row>
    <row r="63" spans="1:16">
      <c r="A63" s="48" t="s">
        <v>50</v>
      </c>
      <c r="B63" s="49" t="s">
        <v>13</v>
      </c>
      <c r="C63" s="93" t="s">
        <v>89</v>
      </c>
      <c r="D63" s="117" t="str">
        <f t="shared" si="0"/>
        <v>1471-0408</v>
      </c>
      <c r="E63" s="78" t="s">
        <v>90</v>
      </c>
      <c r="F63" s="77"/>
      <c r="G63" s="52" t="s">
        <v>91</v>
      </c>
      <c r="H63" s="111" t="s">
        <v>54</v>
      </c>
      <c r="I63" s="111" t="s">
        <v>55</v>
      </c>
      <c r="J63" s="53" t="s">
        <v>23</v>
      </c>
      <c r="K63" s="94"/>
      <c r="L63" s="94" t="s">
        <v>76</v>
      </c>
      <c r="M63" s="94" t="s">
        <v>17</v>
      </c>
      <c r="N63" s="94" t="s">
        <v>17</v>
      </c>
      <c r="O63" s="95"/>
      <c r="P63" s="96"/>
    </row>
    <row r="64" spans="1:16">
      <c r="A64" s="54"/>
      <c r="B64" s="55"/>
      <c r="C64" s="97"/>
      <c r="D64" s="117" t="str">
        <f t="shared" si="0"/>
        <v/>
      </c>
      <c r="E64" s="80"/>
      <c r="F64" s="79"/>
      <c r="G64" s="98"/>
      <c r="H64" s="99"/>
      <c r="I64" s="99"/>
      <c r="J64" s="100"/>
      <c r="K64" s="98"/>
      <c r="L64" s="98"/>
      <c r="M64" s="98"/>
      <c r="N64" s="98"/>
      <c r="O64" s="99"/>
      <c r="P64" s="96"/>
    </row>
    <row r="65" spans="1:16">
      <c r="A65" s="54"/>
      <c r="B65" s="55"/>
      <c r="C65" s="97"/>
      <c r="D65" s="117" t="str">
        <f t="shared" si="0"/>
        <v/>
      </c>
      <c r="E65" s="80"/>
      <c r="F65" s="79"/>
      <c r="G65" s="98"/>
      <c r="H65" s="99"/>
      <c r="I65" s="99"/>
      <c r="J65" s="100"/>
      <c r="K65" s="98"/>
      <c r="L65" s="98"/>
      <c r="M65" s="98"/>
      <c r="N65" s="98"/>
      <c r="O65" s="99"/>
      <c r="P65" s="96"/>
    </row>
    <row r="66" spans="1:16">
      <c r="A66" s="54"/>
      <c r="B66" s="55"/>
      <c r="C66" s="97"/>
      <c r="D66" s="117" t="str">
        <f t="shared" si="0"/>
        <v/>
      </c>
      <c r="E66" s="80"/>
      <c r="F66" s="79"/>
      <c r="G66" s="98"/>
      <c r="H66" s="99"/>
      <c r="I66" s="99"/>
      <c r="J66" s="100"/>
      <c r="K66" s="98"/>
      <c r="L66" s="98"/>
      <c r="M66" s="98"/>
      <c r="N66" s="98"/>
      <c r="O66" s="99"/>
      <c r="P66" s="96"/>
    </row>
    <row r="67" spans="1:16">
      <c r="A67" s="54"/>
      <c r="B67" s="55"/>
      <c r="C67" s="97"/>
      <c r="D67" s="117" t="str">
        <f t="shared" si="0"/>
        <v/>
      </c>
      <c r="E67" s="80"/>
      <c r="F67" s="79"/>
      <c r="G67" s="98"/>
      <c r="H67" s="99"/>
      <c r="I67" s="99"/>
      <c r="J67" s="100"/>
      <c r="K67" s="98"/>
      <c r="L67" s="98"/>
      <c r="M67" s="98"/>
      <c r="N67" s="98"/>
      <c r="O67" s="99"/>
      <c r="P67" s="96"/>
    </row>
    <row r="68" spans="1:16">
      <c r="A68" s="54"/>
      <c r="B68" s="55"/>
      <c r="C68" s="97"/>
      <c r="D68" s="117" t="str">
        <f t="shared" si="0"/>
        <v/>
      </c>
      <c r="E68" s="80"/>
      <c r="F68" s="79"/>
      <c r="G68" s="98"/>
      <c r="H68" s="99"/>
      <c r="I68" s="99"/>
      <c r="J68" s="100"/>
      <c r="K68" s="98"/>
      <c r="L68" s="98"/>
      <c r="M68" s="98"/>
      <c r="N68" s="98"/>
      <c r="O68" s="99"/>
      <c r="P68" s="96"/>
    </row>
    <row r="69" spans="1:16">
      <c r="A69" s="54"/>
      <c r="B69" s="55"/>
      <c r="C69" s="97"/>
      <c r="D69" s="117" t="str">
        <f t="shared" ref="D69:D132" si="1">_xlfn.CONCAT(A69,B69,C69)</f>
        <v/>
      </c>
      <c r="E69" s="80"/>
      <c r="F69" s="79"/>
      <c r="G69" s="98"/>
      <c r="H69" s="99"/>
      <c r="I69" s="99"/>
      <c r="J69" s="100"/>
      <c r="K69" s="98"/>
      <c r="L69" s="98"/>
      <c r="M69" s="98"/>
      <c r="N69" s="98"/>
      <c r="O69" s="99"/>
      <c r="P69" s="96"/>
    </row>
    <row r="70" spans="1:16">
      <c r="A70" s="54"/>
      <c r="B70" s="55"/>
      <c r="C70" s="97"/>
      <c r="D70" s="117" t="str">
        <f t="shared" si="1"/>
        <v/>
      </c>
      <c r="E70" s="80"/>
      <c r="F70" s="79"/>
      <c r="G70" s="98"/>
      <c r="H70" s="99"/>
      <c r="I70" s="99"/>
      <c r="J70" s="100"/>
      <c r="K70" s="98"/>
      <c r="L70" s="98"/>
      <c r="M70" s="98"/>
      <c r="N70" s="98"/>
      <c r="O70" s="99"/>
      <c r="P70" s="96"/>
    </row>
    <row r="71" spans="1:16">
      <c r="A71" s="101"/>
      <c r="B71" s="102"/>
      <c r="C71" s="103"/>
      <c r="D71" s="117" t="str">
        <f t="shared" si="1"/>
        <v/>
      </c>
      <c r="E71" s="104"/>
      <c r="F71" s="79"/>
      <c r="G71" s="98"/>
      <c r="H71" s="99"/>
      <c r="I71" s="99"/>
      <c r="J71" s="100"/>
      <c r="K71" s="98"/>
      <c r="L71" s="98"/>
      <c r="M71" s="98"/>
      <c r="N71" s="98"/>
      <c r="O71" s="99"/>
      <c r="P71" s="96"/>
    </row>
    <row r="72" spans="1:16">
      <c r="A72" s="35"/>
      <c r="B72" s="36"/>
      <c r="C72" s="105"/>
      <c r="D72" s="117" t="str">
        <f t="shared" si="1"/>
        <v/>
      </c>
      <c r="E72" s="83"/>
      <c r="F72" s="81"/>
      <c r="G72" s="41"/>
      <c r="H72" s="89"/>
      <c r="I72" s="89"/>
      <c r="J72" s="40"/>
      <c r="K72" s="41"/>
      <c r="L72" s="41"/>
      <c r="M72" s="41"/>
      <c r="N72" s="41"/>
      <c r="O72" s="89"/>
      <c r="P72" s="75"/>
    </row>
    <row r="73" spans="1:16">
      <c r="A73" s="30" t="s">
        <v>50</v>
      </c>
      <c r="B73" s="31" t="s">
        <v>13</v>
      </c>
      <c r="C73" s="20" t="s">
        <v>93</v>
      </c>
      <c r="D73" s="117" t="str">
        <f t="shared" si="1"/>
        <v>1471-0000</v>
      </c>
      <c r="E73" s="24" t="s">
        <v>94</v>
      </c>
      <c r="F73" s="25"/>
      <c r="G73" s="17" t="s">
        <v>95</v>
      </c>
      <c r="H73" s="111" t="s">
        <v>54</v>
      </c>
      <c r="I73" s="111" t="s">
        <v>55</v>
      </c>
      <c r="J73" s="22" t="s">
        <v>23</v>
      </c>
      <c r="K73" s="17"/>
      <c r="L73" s="17"/>
      <c r="M73" s="17" t="s">
        <v>17</v>
      </c>
      <c r="N73" s="17" t="s">
        <v>17</v>
      </c>
      <c r="O73" s="21"/>
      <c r="P73" s="23"/>
    </row>
    <row r="74" spans="1:16">
      <c r="A74" s="30" t="s">
        <v>50</v>
      </c>
      <c r="B74" s="31" t="s">
        <v>13</v>
      </c>
      <c r="C74" s="26" t="s">
        <v>96</v>
      </c>
      <c r="D74" s="117" t="str">
        <f t="shared" si="1"/>
        <v>1471-1000</v>
      </c>
      <c r="E74" s="24" t="s">
        <v>97</v>
      </c>
      <c r="F74" s="25"/>
      <c r="G74" s="17" t="s">
        <v>98</v>
      </c>
      <c r="H74" s="111" t="s">
        <v>54</v>
      </c>
      <c r="I74" s="111" t="s">
        <v>55</v>
      </c>
      <c r="J74" s="22" t="s">
        <v>23</v>
      </c>
      <c r="K74" s="17"/>
      <c r="L74" s="17"/>
      <c r="M74" s="17" t="s">
        <v>17</v>
      </c>
      <c r="N74" s="17" t="s">
        <v>17</v>
      </c>
      <c r="O74" s="21"/>
      <c r="P74" s="23"/>
    </row>
    <row r="75" spans="1:16">
      <c r="A75" s="30" t="s">
        <v>50</v>
      </c>
      <c r="B75" s="31" t="s">
        <v>13</v>
      </c>
      <c r="C75" s="26" t="s">
        <v>57</v>
      </c>
      <c r="D75" s="117" t="str">
        <f t="shared" si="1"/>
        <v>1471-5000</v>
      </c>
      <c r="E75" s="24" t="s">
        <v>99</v>
      </c>
      <c r="F75" s="25"/>
      <c r="G75" s="17" t="s">
        <v>100</v>
      </c>
      <c r="H75" s="111" t="s">
        <v>54</v>
      </c>
      <c r="I75" s="111" t="s">
        <v>55</v>
      </c>
      <c r="J75" s="22" t="s">
        <v>23</v>
      </c>
      <c r="K75" s="17"/>
      <c r="L75" s="17"/>
      <c r="M75" s="17" t="s">
        <v>17</v>
      </c>
      <c r="N75" s="17" t="s">
        <v>17</v>
      </c>
      <c r="O75" s="21"/>
      <c r="P75" s="23"/>
    </row>
    <row r="76" spans="1:16">
      <c r="A76" s="30" t="s">
        <v>50</v>
      </c>
      <c r="B76" s="31" t="s">
        <v>13</v>
      </c>
      <c r="C76" s="26" t="s">
        <v>101</v>
      </c>
      <c r="D76" s="117" t="str">
        <f t="shared" si="1"/>
        <v>1471-6000</v>
      </c>
      <c r="E76" s="24" t="s">
        <v>102</v>
      </c>
      <c r="F76" s="25"/>
      <c r="G76" s="17" t="s">
        <v>103</v>
      </c>
      <c r="H76" s="111" t="s">
        <v>54</v>
      </c>
      <c r="I76" s="111" t="s">
        <v>55</v>
      </c>
      <c r="J76" s="22" t="s">
        <v>23</v>
      </c>
      <c r="K76" s="17"/>
      <c r="L76" s="17"/>
      <c r="M76" s="17" t="s">
        <v>17</v>
      </c>
      <c r="N76" s="17" t="s">
        <v>17</v>
      </c>
      <c r="O76" s="21"/>
      <c r="P76" s="23"/>
    </row>
    <row r="77" spans="1:16">
      <c r="A77" s="30" t="s">
        <v>50</v>
      </c>
      <c r="B77" s="31" t="s">
        <v>13</v>
      </c>
      <c r="C77" s="26" t="s">
        <v>104</v>
      </c>
      <c r="D77" s="117" t="str">
        <f t="shared" si="1"/>
        <v>1471-8000</v>
      </c>
      <c r="E77" s="24" t="s">
        <v>105</v>
      </c>
      <c r="F77" s="25"/>
      <c r="G77" s="17" t="s">
        <v>106</v>
      </c>
      <c r="H77" s="111" t="s">
        <v>54</v>
      </c>
      <c r="I77" s="111" t="s">
        <v>55</v>
      </c>
      <c r="J77" s="22" t="s">
        <v>23</v>
      </c>
      <c r="K77" s="17"/>
      <c r="L77" s="17"/>
      <c r="M77" s="17" t="s">
        <v>17</v>
      </c>
      <c r="N77" s="17" t="s">
        <v>17</v>
      </c>
      <c r="O77" s="21"/>
      <c r="P77" s="23"/>
    </row>
    <row r="78" spans="1:16">
      <c r="A78" s="18" t="s">
        <v>50</v>
      </c>
      <c r="B78" s="19" t="s">
        <v>13</v>
      </c>
      <c r="C78" s="26" t="s">
        <v>107</v>
      </c>
      <c r="D78" s="117" t="str">
        <f t="shared" si="1"/>
        <v>1471-Z000</v>
      </c>
      <c r="E78" s="24" t="s">
        <v>108</v>
      </c>
      <c r="F78" s="25"/>
      <c r="G78" s="17" t="s">
        <v>109</v>
      </c>
      <c r="H78" s="111" t="s">
        <v>54</v>
      </c>
      <c r="I78" s="111" t="s">
        <v>55</v>
      </c>
      <c r="J78" s="22" t="s">
        <v>23</v>
      </c>
      <c r="K78" s="17"/>
      <c r="L78" s="17"/>
      <c r="M78" s="17"/>
      <c r="N78" s="17"/>
      <c r="O78" s="21"/>
      <c r="P78" s="23"/>
    </row>
    <row r="79" spans="1:16">
      <c r="A79" s="18"/>
      <c r="B79" s="19"/>
      <c r="C79" s="26"/>
      <c r="D79" s="117" t="str">
        <f t="shared" si="1"/>
        <v/>
      </c>
      <c r="E79" s="24"/>
      <c r="F79" s="25"/>
      <c r="G79" s="17"/>
      <c r="H79" s="22"/>
      <c r="I79" s="22"/>
      <c r="J79" s="22"/>
      <c r="K79" s="17"/>
      <c r="L79" s="17"/>
      <c r="M79" s="17"/>
      <c r="N79" s="17"/>
      <c r="O79" s="21"/>
      <c r="P79" s="23"/>
    </row>
    <row r="80" spans="1:16">
      <c r="A80" s="14" t="s">
        <v>110</v>
      </c>
      <c r="B80" s="15"/>
      <c r="C80" s="16" t="s">
        <v>9</v>
      </c>
      <c r="D80" s="117" t="str">
        <f t="shared" si="1"/>
        <v>1472</v>
      </c>
      <c r="E80" s="91" t="s">
        <v>111</v>
      </c>
      <c r="F80" s="106"/>
      <c r="G80" s="32"/>
      <c r="H80" s="107"/>
      <c r="I80" s="107"/>
      <c r="J80" s="107"/>
      <c r="K80" s="17"/>
      <c r="L80" s="17"/>
      <c r="M80" s="17"/>
      <c r="N80" s="17"/>
      <c r="O80" s="21"/>
      <c r="P80" s="23"/>
    </row>
    <row r="81" spans="1:16">
      <c r="A81" s="86" t="s">
        <v>110</v>
      </c>
      <c r="B81" s="87" t="s">
        <v>13</v>
      </c>
      <c r="C81" s="50" t="s">
        <v>93</v>
      </c>
      <c r="D81" s="117" t="str">
        <f t="shared" si="1"/>
        <v>1472-0000</v>
      </c>
      <c r="E81" s="65" t="s">
        <v>112</v>
      </c>
      <c r="F81" s="66"/>
      <c r="G81" s="52" t="s">
        <v>113</v>
      </c>
      <c r="H81" s="111" t="s">
        <v>54</v>
      </c>
      <c r="I81" s="111" t="s">
        <v>55</v>
      </c>
      <c r="J81" s="53" t="s">
        <v>23</v>
      </c>
      <c r="K81" s="52"/>
      <c r="L81" s="52"/>
      <c r="M81" s="52" t="s">
        <v>17</v>
      </c>
      <c r="N81" s="52" t="s">
        <v>17</v>
      </c>
      <c r="O81" s="51"/>
      <c r="P81" s="34"/>
    </row>
    <row r="82" spans="1:16">
      <c r="A82" s="69"/>
      <c r="B82" s="70"/>
      <c r="C82" s="82"/>
      <c r="D82" s="117" t="str">
        <f t="shared" si="1"/>
        <v/>
      </c>
      <c r="E82" s="42"/>
      <c r="F82" s="43"/>
      <c r="G82" s="41"/>
      <c r="H82" s="40"/>
      <c r="I82" s="40"/>
      <c r="J82" s="40"/>
      <c r="K82" s="41"/>
      <c r="L82" s="41"/>
      <c r="M82" s="41"/>
      <c r="N82" s="41"/>
      <c r="O82" s="44"/>
      <c r="P82" s="34"/>
    </row>
    <row r="83" spans="1:16">
      <c r="A83" s="48" t="s">
        <v>110</v>
      </c>
      <c r="B83" s="49" t="s">
        <v>13</v>
      </c>
      <c r="C83" s="64">
        <v>7101</v>
      </c>
      <c r="D83" s="117" t="str">
        <f t="shared" si="1"/>
        <v>1472-7101</v>
      </c>
      <c r="E83" s="65" t="s">
        <v>115</v>
      </c>
      <c r="F83" s="66"/>
      <c r="G83" s="52" t="s">
        <v>116</v>
      </c>
      <c r="H83" s="111" t="s">
        <v>54</v>
      </c>
      <c r="I83" s="111" t="s">
        <v>55</v>
      </c>
      <c r="J83" s="53" t="s">
        <v>23</v>
      </c>
      <c r="K83" s="52"/>
      <c r="L83" s="84" t="s">
        <v>61</v>
      </c>
      <c r="M83" s="52" t="s">
        <v>17</v>
      </c>
      <c r="N83" s="52" t="s">
        <v>17</v>
      </c>
      <c r="O83" s="51"/>
      <c r="P83" s="34"/>
    </row>
    <row r="84" spans="1:16">
      <c r="A84" s="35"/>
      <c r="B84" s="36"/>
      <c r="C84" s="37"/>
      <c r="D84" s="117" t="str">
        <f t="shared" si="1"/>
        <v/>
      </c>
      <c r="E84" s="42"/>
      <c r="F84" s="43"/>
      <c r="G84" s="41"/>
      <c r="H84" s="40"/>
      <c r="I84" s="40"/>
      <c r="J84" s="40"/>
      <c r="K84" s="41"/>
      <c r="L84" s="85"/>
      <c r="M84" s="41"/>
      <c r="N84" s="41"/>
      <c r="O84" s="44"/>
      <c r="P84" s="34"/>
    </row>
    <row r="85" spans="1:16">
      <c r="A85" s="48" t="s">
        <v>110</v>
      </c>
      <c r="B85" s="49" t="s">
        <v>13</v>
      </c>
      <c r="C85" s="64">
        <v>7102</v>
      </c>
      <c r="D85" s="117" t="str">
        <f t="shared" si="1"/>
        <v>1472-7102</v>
      </c>
      <c r="E85" s="65" t="s">
        <v>117</v>
      </c>
      <c r="F85" s="66"/>
      <c r="G85" s="52" t="s">
        <v>120</v>
      </c>
      <c r="H85" s="111" t="s">
        <v>54</v>
      </c>
      <c r="I85" s="111" t="s">
        <v>55</v>
      </c>
      <c r="J85" s="53" t="s">
        <v>23</v>
      </c>
      <c r="K85" s="52"/>
      <c r="L85" s="52"/>
      <c r="M85" s="52" t="s">
        <v>17</v>
      </c>
      <c r="N85" s="52" t="s">
        <v>17</v>
      </c>
      <c r="O85" s="51"/>
      <c r="P85" s="34"/>
    </row>
    <row r="86" spans="1:16">
      <c r="A86" s="54"/>
      <c r="B86" s="55"/>
      <c r="C86" s="56"/>
      <c r="D86" s="117" t="str">
        <f t="shared" si="1"/>
        <v/>
      </c>
      <c r="E86" s="59"/>
      <c r="F86" s="60"/>
      <c r="G86" s="58"/>
      <c r="H86" s="33"/>
      <c r="I86" s="33"/>
      <c r="J86" s="33"/>
      <c r="K86" s="58"/>
      <c r="L86" s="58"/>
      <c r="M86" s="58"/>
      <c r="N86" s="58"/>
      <c r="O86" s="61"/>
      <c r="P86" s="34"/>
    </row>
    <row r="87" spans="1:16">
      <c r="A87" s="35"/>
      <c r="B87" s="36"/>
      <c r="C87" s="37"/>
      <c r="D87" s="117" t="str">
        <f t="shared" si="1"/>
        <v/>
      </c>
      <c r="E87" s="42"/>
      <c r="F87" s="43"/>
      <c r="G87" s="41"/>
      <c r="H87" s="40"/>
      <c r="I87" s="40"/>
      <c r="J87" s="40"/>
      <c r="K87" s="41"/>
      <c r="L87" s="41"/>
      <c r="M87" s="41"/>
      <c r="N87" s="41"/>
      <c r="O87" s="44"/>
      <c r="P87" s="34"/>
    </row>
    <row r="88" spans="1:16">
      <c r="A88" s="48" t="s">
        <v>110</v>
      </c>
      <c r="B88" s="49" t="s">
        <v>13</v>
      </c>
      <c r="C88" s="64">
        <v>7103</v>
      </c>
      <c r="D88" s="117" t="str">
        <f t="shared" si="1"/>
        <v>1472-7103</v>
      </c>
      <c r="E88" s="65" t="s">
        <v>121</v>
      </c>
      <c r="F88" s="66"/>
      <c r="G88" s="52" t="s">
        <v>122</v>
      </c>
      <c r="H88" s="111" t="s">
        <v>54</v>
      </c>
      <c r="I88" s="111" t="s">
        <v>55</v>
      </c>
      <c r="J88" s="53" t="s">
        <v>23</v>
      </c>
      <c r="K88" s="52"/>
      <c r="L88" s="52"/>
      <c r="M88" s="52"/>
      <c r="N88" s="52" t="s">
        <v>17</v>
      </c>
      <c r="O88" s="51"/>
      <c r="P88" s="34"/>
    </row>
    <row r="89" spans="1:16">
      <c r="A89" s="35"/>
      <c r="B89" s="36"/>
      <c r="C89" s="37"/>
      <c r="D89" s="117" t="str">
        <f t="shared" si="1"/>
        <v/>
      </c>
      <c r="E89" s="42"/>
      <c r="F89" s="43"/>
      <c r="G89" s="41"/>
      <c r="H89" s="40"/>
      <c r="I89" s="40"/>
      <c r="J89" s="40"/>
      <c r="K89" s="41"/>
      <c r="L89" s="41"/>
      <c r="M89" s="41"/>
      <c r="N89" s="41"/>
      <c r="O89" s="44"/>
      <c r="P89" s="34"/>
    </row>
    <row r="90" spans="1:16">
      <c r="A90" s="48" t="s">
        <v>110</v>
      </c>
      <c r="B90" s="49" t="s">
        <v>13</v>
      </c>
      <c r="C90" s="64">
        <v>7104</v>
      </c>
      <c r="D90" s="117" t="str">
        <f t="shared" si="1"/>
        <v>1472-7104</v>
      </c>
      <c r="E90" s="65" t="s">
        <v>123</v>
      </c>
      <c r="F90" s="66"/>
      <c r="G90" s="52" t="s">
        <v>124</v>
      </c>
      <c r="H90" s="111" t="s">
        <v>54</v>
      </c>
      <c r="I90" s="111" t="s">
        <v>55</v>
      </c>
      <c r="J90" s="53" t="s">
        <v>23</v>
      </c>
      <c r="K90" s="52"/>
      <c r="L90" s="52"/>
      <c r="M90" s="52"/>
      <c r="N90" s="52" t="s">
        <v>17</v>
      </c>
      <c r="O90" s="51"/>
      <c r="P90" s="34"/>
    </row>
    <row r="91" spans="1:16">
      <c r="A91" s="54"/>
      <c r="B91" s="55"/>
      <c r="C91" s="56"/>
      <c r="D91" s="117" t="str">
        <f t="shared" si="1"/>
        <v/>
      </c>
      <c r="E91" s="59"/>
      <c r="F91" s="60"/>
      <c r="G91" s="58"/>
      <c r="H91" s="33"/>
      <c r="I91" s="33"/>
      <c r="J91" s="33"/>
      <c r="K91" s="58"/>
      <c r="L91" s="58"/>
      <c r="M91" s="58"/>
      <c r="N91" s="58"/>
      <c r="O91" s="61"/>
      <c r="P91" s="34"/>
    </row>
    <row r="92" spans="1:16">
      <c r="A92" s="35"/>
      <c r="B92" s="36"/>
      <c r="C92" s="37"/>
      <c r="D92" s="117" t="str">
        <f t="shared" si="1"/>
        <v/>
      </c>
      <c r="E92" s="42"/>
      <c r="F92" s="43"/>
      <c r="G92" s="41"/>
      <c r="H92" s="40"/>
      <c r="I92" s="40"/>
      <c r="J92" s="40"/>
      <c r="K92" s="41"/>
      <c r="L92" s="41"/>
      <c r="M92" s="41"/>
      <c r="N92" s="41"/>
      <c r="O92" s="44"/>
      <c r="P92" s="34"/>
    </row>
    <row r="93" spans="1:16">
      <c r="A93" s="48" t="s">
        <v>110</v>
      </c>
      <c r="B93" s="49" t="s">
        <v>13</v>
      </c>
      <c r="C93" s="64">
        <v>7105</v>
      </c>
      <c r="D93" s="117" t="str">
        <f t="shared" si="1"/>
        <v>1472-7105</v>
      </c>
      <c r="E93" s="65" t="s">
        <v>125</v>
      </c>
      <c r="F93" s="66"/>
      <c r="G93" s="52" t="s">
        <v>126</v>
      </c>
      <c r="H93" s="111" t="s">
        <v>127</v>
      </c>
      <c r="I93" s="111" t="s">
        <v>55</v>
      </c>
      <c r="J93" s="53" t="s">
        <v>23</v>
      </c>
      <c r="K93" s="52"/>
      <c r="L93" s="52"/>
      <c r="M93" s="52"/>
      <c r="N93" s="52" t="s">
        <v>17</v>
      </c>
      <c r="O93" s="51"/>
      <c r="P93" s="34"/>
    </row>
    <row r="94" spans="1:16">
      <c r="A94" s="35"/>
      <c r="B94" s="36"/>
      <c r="C94" s="37"/>
      <c r="D94" s="117" t="str">
        <f t="shared" si="1"/>
        <v/>
      </c>
      <c r="E94" s="42"/>
      <c r="F94" s="43"/>
      <c r="G94" s="41"/>
      <c r="H94" s="40"/>
      <c r="I94" s="40"/>
      <c r="J94" s="40"/>
      <c r="K94" s="41"/>
      <c r="L94" s="41"/>
      <c r="M94" s="41"/>
      <c r="N94" s="41"/>
      <c r="O94" s="44"/>
      <c r="P94" s="34"/>
    </row>
    <row r="95" spans="1:16">
      <c r="A95" s="48" t="s">
        <v>110</v>
      </c>
      <c r="B95" s="49" t="s">
        <v>13</v>
      </c>
      <c r="C95" s="64">
        <v>7106</v>
      </c>
      <c r="D95" s="117" t="str">
        <f t="shared" si="1"/>
        <v>1472-7106</v>
      </c>
      <c r="E95" s="65" t="s">
        <v>128</v>
      </c>
      <c r="F95" s="66"/>
      <c r="G95" s="52" t="s">
        <v>130</v>
      </c>
      <c r="H95" s="111" t="s">
        <v>127</v>
      </c>
      <c r="I95" s="111" t="s">
        <v>55</v>
      </c>
      <c r="J95" s="53" t="s">
        <v>23</v>
      </c>
      <c r="K95" s="52"/>
      <c r="L95" s="52"/>
      <c r="M95" s="52"/>
      <c r="N95" s="52" t="s">
        <v>17</v>
      </c>
      <c r="O95" s="51"/>
      <c r="P95" s="34"/>
    </row>
    <row r="96" spans="1:16">
      <c r="A96" s="54"/>
      <c r="B96" s="55"/>
      <c r="C96" s="56"/>
      <c r="D96" s="117" t="str">
        <f t="shared" si="1"/>
        <v/>
      </c>
      <c r="E96" s="59"/>
      <c r="F96" s="60"/>
      <c r="G96" s="58"/>
      <c r="H96" s="33"/>
      <c r="I96" s="33"/>
      <c r="J96" s="33"/>
      <c r="K96" s="58"/>
      <c r="L96" s="58"/>
      <c r="M96" s="58"/>
      <c r="N96" s="58"/>
      <c r="O96" s="61"/>
      <c r="P96" s="34"/>
    </row>
    <row r="97" spans="1:16">
      <c r="A97" s="54"/>
      <c r="B97" s="55"/>
      <c r="C97" s="56"/>
      <c r="D97" s="117" t="str">
        <f t="shared" si="1"/>
        <v/>
      </c>
      <c r="E97" s="59"/>
      <c r="F97" s="60"/>
      <c r="G97" s="58"/>
      <c r="H97" s="33"/>
      <c r="I97" s="33"/>
      <c r="J97" s="33"/>
      <c r="K97" s="58"/>
      <c r="L97" s="58"/>
      <c r="M97" s="58"/>
      <c r="N97" s="58"/>
      <c r="O97" s="61"/>
      <c r="P97" s="34"/>
    </row>
    <row r="98" spans="1:16">
      <c r="A98" s="35"/>
      <c r="B98" s="36"/>
      <c r="C98" s="37"/>
      <c r="D98" s="117" t="str">
        <f t="shared" si="1"/>
        <v/>
      </c>
      <c r="E98" s="42"/>
      <c r="F98" s="43"/>
      <c r="G98" s="41"/>
      <c r="H98" s="40"/>
      <c r="I98" s="40"/>
      <c r="J98" s="40"/>
      <c r="K98" s="41"/>
      <c r="L98" s="41"/>
      <c r="M98" s="41"/>
      <c r="N98" s="41"/>
      <c r="O98" s="44"/>
      <c r="P98" s="34"/>
    </row>
    <row r="99" spans="1:16">
      <c r="A99" s="48" t="s">
        <v>110</v>
      </c>
      <c r="B99" s="49" t="s">
        <v>13</v>
      </c>
      <c r="C99" s="64">
        <v>7801</v>
      </c>
      <c r="D99" s="117" t="str">
        <f t="shared" si="1"/>
        <v>1472-7801</v>
      </c>
      <c r="E99" s="65" t="s">
        <v>132</v>
      </c>
      <c r="F99" s="66"/>
      <c r="G99" s="52" t="s">
        <v>133</v>
      </c>
      <c r="H99" s="111" t="s">
        <v>127</v>
      </c>
      <c r="I99" s="111" t="s">
        <v>55</v>
      </c>
      <c r="J99" s="53" t="s">
        <v>23</v>
      </c>
      <c r="K99" s="52"/>
      <c r="L99" s="52"/>
      <c r="M99" s="52"/>
      <c r="N99" s="52" t="s">
        <v>17</v>
      </c>
      <c r="O99" s="51"/>
      <c r="P99" s="34"/>
    </row>
    <row r="100" spans="1:16">
      <c r="A100" s="35"/>
      <c r="B100" s="36"/>
      <c r="C100" s="37"/>
      <c r="D100" s="117" t="str">
        <f t="shared" si="1"/>
        <v/>
      </c>
      <c r="E100" s="42"/>
      <c r="F100" s="43"/>
      <c r="G100" s="41"/>
      <c r="H100" s="40"/>
      <c r="I100" s="40"/>
      <c r="J100" s="40"/>
      <c r="K100" s="41"/>
      <c r="L100" s="41"/>
      <c r="M100" s="41"/>
      <c r="N100" s="41"/>
      <c r="O100" s="44"/>
      <c r="P100" s="34"/>
    </row>
    <row r="101" spans="1:16">
      <c r="A101" s="48" t="s">
        <v>110</v>
      </c>
      <c r="B101" s="49" t="s">
        <v>13</v>
      </c>
      <c r="C101" s="64">
        <v>7802</v>
      </c>
      <c r="D101" s="117" t="str">
        <f t="shared" si="1"/>
        <v>1472-7802</v>
      </c>
      <c r="E101" s="65" t="s">
        <v>131</v>
      </c>
      <c r="F101" s="66"/>
      <c r="G101" s="52" t="s">
        <v>134</v>
      </c>
      <c r="H101" s="111" t="s">
        <v>127</v>
      </c>
      <c r="I101" s="111" t="s">
        <v>55</v>
      </c>
      <c r="J101" s="53" t="s">
        <v>23</v>
      </c>
      <c r="K101" s="52"/>
      <c r="L101" s="52"/>
      <c r="M101" s="52"/>
      <c r="N101" s="52" t="s">
        <v>17</v>
      </c>
      <c r="O101" s="51"/>
      <c r="P101" s="34"/>
    </row>
    <row r="102" spans="1:16">
      <c r="A102" s="35"/>
      <c r="B102" s="36"/>
      <c r="C102" s="37"/>
      <c r="D102" s="117" t="str">
        <f t="shared" si="1"/>
        <v/>
      </c>
      <c r="E102" s="42"/>
      <c r="F102" s="43"/>
      <c r="G102" s="41"/>
      <c r="H102" s="40"/>
      <c r="I102" s="40"/>
      <c r="J102" s="40"/>
      <c r="K102" s="41"/>
      <c r="L102" s="41"/>
      <c r="M102" s="41"/>
      <c r="N102" s="41"/>
      <c r="O102" s="44"/>
      <c r="P102" s="34"/>
    </row>
    <row r="103" spans="1:16">
      <c r="A103" s="48" t="s">
        <v>110</v>
      </c>
      <c r="B103" s="49" t="s">
        <v>13</v>
      </c>
      <c r="C103" s="64">
        <v>7803</v>
      </c>
      <c r="D103" s="117" t="str">
        <f t="shared" si="1"/>
        <v>1472-7803</v>
      </c>
      <c r="E103" s="65" t="s">
        <v>129</v>
      </c>
      <c r="F103" s="66"/>
      <c r="G103" s="52" t="s">
        <v>135</v>
      </c>
      <c r="H103" s="111" t="s">
        <v>127</v>
      </c>
      <c r="I103" s="111" t="s">
        <v>55</v>
      </c>
      <c r="J103" s="53" t="s">
        <v>23</v>
      </c>
      <c r="K103" s="52"/>
      <c r="L103" s="52"/>
      <c r="M103" s="52"/>
      <c r="N103" s="52" t="s">
        <v>17</v>
      </c>
      <c r="O103" s="51"/>
      <c r="P103" s="34"/>
    </row>
    <row r="104" spans="1:16">
      <c r="A104" s="35"/>
      <c r="B104" s="36"/>
      <c r="C104" s="37"/>
      <c r="D104" s="117" t="str">
        <f t="shared" si="1"/>
        <v/>
      </c>
      <c r="E104" s="42"/>
      <c r="F104" s="43"/>
      <c r="G104" s="41"/>
      <c r="H104" s="40"/>
      <c r="I104" s="40"/>
      <c r="J104" s="40"/>
      <c r="K104" s="41"/>
      <c r="L104" s="41"/>
      <c r="M104" s="41"/>
      <c r="N104" s="41"/>
      <c r="O104" s="44"/>
      <c r="P104" s="34"/>
    </row>
    <row r="105" spans="1:16">
      <c r="A105" s="18" t="s">
        <v>110</v>
      </c>
      <c r="B105" s="19" t="s">
        <v>13</v>
      </c>
      <c r="C105" s="26" t="s">
        <v>107</v>
      </c>
      <c r="D105" s="117" t="str">
        <f t="shared" si="1"/>
        <v>1472-Z000</v>
      </c>
      <c r="E105" s="24" t="s">
        <v>108</v>
      </c>
      <c r="F105" s="25"/>
      <c r="G105" s="17" t="s">
        <v>136</v>
      </c>
      <c r="H105" s="111" t="s">
        <v>54</v>
      </c>
      <c r="I105" s="111" t="s">
        <v>55</v>
      </c>
      <c r="J105" s="22" t="s">
        <v>23</v>
      </c>
      <c r="K105" s="17"/>
      <c r="L105" s="17"/>
      <c r="M105" s="17"/>
      <c r="N105" s="17"/>
      <c r="O105" s="21"/>
      <c r="P105" s="23"/>
    </row>
    <row r="106" spans="1:16">
      <c r="A106" s="18"/>
      <c r="B106" s="19"/>
      <c r="C106" s="26"/>
      <c r="D106" s="117" t="str">
        <f t="shared" si="1"/>
        <v/>
      </c>
      <c r="E106" s="24"/>
      <c r="F106" s="25"/>
      <c r="G106" s="17"/>
      <c r="H106" s="22"/>
      <c r="I106" s="22"/>
      <c r="J106" s="22"/>
      <c r="K106" s="17"/>
      <c r="L106" s="17"/>
      <c r="M106" s="17"/>
      <c r="N106" s="17"/>
      <c r="O106" s="21"/>
      <c r="P106" s="23"/>
    </row>
    <row r="107" spans="1:16">
      <c r="A107" s="14" t="s">
        <v>119</v>
      </c>
      <c r="B107" s="15"/>
      <c r="C107" s="16" t="s">
        <v>9</v>
      </c>
      <c r="D107" s="117" t="str">
        <f t="shared" si="1"/>
        <v>1473</v>
      </c>
      <c r="E107" s="91" t="s">
        <v>137</v>
      </c>
      <c r="F107" s="106"/>
      <c r="G107" s="17"/>
      <c r="H107" s="107"/>
      <c r="I107" s="107"/>
      <c r="J107" s="107"/>
      <c r="K107" s="17"/>
      <c r="L107" s="17"/>
      <c r="M107" s="17"/>
      <c r="N107" s="17"/>
      <c r="O107" s="21"/>
      <c r="P107" s="23"/>
    </row>
    <row r="108" spans="1:16">
      <c r="A108" s="48" t="s">
        <v>119</v>
      </c>
      <c r="B108" s="49" t="s">
        <v>13</v>
      </c>
      <c r="C108" s="64">
        <v>7000</v>
      </c>
      <c r="D108" s="117" t="str">
        <f t="shared" si="1"/>
        <v>1473-7000</v>
      </c>
      <c r="E108" s="65" t="s">
        <v>118</v>
      </c>
      <c r="F108" s="66"/>
      <c r="G108" s="52" t="s">
        <v>138</v>
      </c>
      <c r="H108" s="111" t="s">
        <v>54</v>
      </c>
      <c r="I108" s="111" t="s">
        <v>55</v>
      </c>
      <c r="J108" s="53" t="s">
        <v>23</v>
      </c>
      <c r="K108" s="52"/>
      <c r="L108" s="84" t="s">
        <v>61</v>
      </c>
      <c r="M108" s="52" t="s">
        <v>17</v>
      </c>
      <c r="N108" s="52" t="s">
        <v>17</v>
      </c>
      <c r="O108" s="51"/>
      <c r="P108" s="34"/>
    </row>
    <row r="109" spans="1:16">
      <c r="A109" s="35"/>
      <c r="B109" s="36"/>
      <c r="C109" s="37"/>
      <c r="D109" s="117" t="str">
        <f t="shared" si="1"/>
        <v/>
      </c>
      <c r="E109" s="42"/>
      <c r="F109" s="43"/>
      <c r="G109" s="41"/>
      <c r="H109" s="40"/>
      <c r="I109" s="40"/>
      <c r="J109" s="40"/>
      <c r="K109" s="41"/>
      <c r="L109" s="85"/>
      <c r="M109" s="41"/>
      <c r="N109" s="41"/>
      <c r="O109" s="44"/>
      <c r="P109" s="34"/>
    </row>
    <row r="110" spans="1:16">
      <c r="A110" s="48" t="s">
        <v>119</v>
      </c>
      <c r="B110" s="49" t="s">
        <v>13</v>
      </c>
      <c r="C110" s="64">
        <v>7001</v>
      </c>
      <c r="D110" s="117" t="str">
        <f t="shared" si="1"/>
        <v>1473-7001</v>
      </c>
      <c r="E110" s="65" t="s">
        <v>139</v>
      </c>
      <c r="F110" s="66"/>
      <c r="G110" s="52" t="s">
        <v>140</v>
      </c>
      <c r="H110" s="111" t="s">
        <v>54</v>
      </c>
      <c r="I110" s="111" t="s">
        <v>55</v>
      </c>
      <c r="J110" s="53" t="s">
        <v>23</v>
      </c>
      <c r="K110" s="52"/>
      <c r="L110" s="84"/>
      <c r="M110" s="52" t="s">
        <v>141</v>
      </c>
      <c r="N110" s="52" t="s">
        <v>17</v>
      </c>
      <c r="O110" s="51"/>
      <c r="P110" s="108"/>
    </row>
    <row r="111" spans="1:16">
      <c r="A111" s="54"/>
      <c r="B111" s="55"/>
      <c r="C111" s="56"/>
      <c r="D111" s="117" t="str">
        <f t="shared" si="1"/>
        <v/>
      </c>
      <c r="E111" s="59"/>
      <c r="F111" s="60"/>
      <c r="G111" s="58"/>
      <c r="H111" s="33"/>
      <c r="I111" s="33"/>
      <c r="J111" s="33"/>
      <c r="K111" s="58"/>
      <c r="L111" s="88"/>
      <c r="M111" s="58"/>
      <c r="N111" s="58"/>
      <c r="O111" s="61"/>
    </row>
    <row r="112" spans="1:16">
      <c r="A112" s="54"/>
      <c r="B112" s="55"/>
      <c r="C112" s="56"/>
      <c r="D112" s="117" t="str">
        <f t="shared" si="1"/>
        <v/>
      </c>
      <c r="E112" s="59"/>
      <c r="F112" s="60"/>
      <c r="G112" s="58"/>
      <c r="H112" s="33"/>
      <c r="I112" s="33"/>
      <c r="J112" s="33"/>
      <c r="K112" s="58"/>
      <c r="L112" s="88"/>
      <c r="M112" s="58"/>
      <c r="N112" s="58"/>
      <c r="O112" s="61"/>
    </row>
    <row r="113" spans="1:16">
      <c r="A113" s="54"/>
      <c r="B113" s="55"/>
      <c r="C113" s="56"/>
      <c r="D113" s="117" t="str">
        <f t="shared" si="1"/>
        <v/>
      </c>
      <c r="E113" s="59"/>
      <c r="F113" s="60"/>
      <c r="G113" s="58"/>
      <c r="H113" s="33"/>
      <c r="I113" s="33"/>
      <c r="J113" s="33"/>
      <c r="K113" s="58"/>
      <c r="L113" s="88"/>
      <c r="M113" s="58"/>
      <c r="N113" s="58"/>
      <c r="O113" s="61"/>
    </row>
    <row r="114" spans="1:16">
      <c r="A114" s="35"/>
      <c r="B114" s="36"/>
      <c r="C114" s="37"/>
      <c r="D114" s="117" t="str">
        <f t="shared" si="1"/>
        <v/>
      </c>
      <c r="E114" s="42"/>
      <c r="F114" s="43"/>
      <c r="G114" s="41"/>
      <c r="H114" s="40"/>
      <c r="I114" s="40"/>
      <c r="J114" s="40"/>
      <c r="K114" s="41"/>
      <c r="L114" s="85"/>
      <c r="M114" s="41"/>
      <c r="N114" s="41"/>
      <c r="O114" s="44"/>
    </row>
    <row r="115" spans="1:16">
      <c r="A115" s="48" t="s">
        <v>119</v>
      </c>
      <c r="B115" s="49" t="s">
        <v>13</v>
      </c>
      <c r="C115" s="64">
        <v>7101</v>
      </c>
      <c r="D115" s="117" t="str">
        <f t="shared" si="1"/>
        <v>1473-7101</v>
      </c>
      <c r="E115" s="65" t="s">
        <v>142</v>
      </c>
      <c r="F115" s="66"/>
      <c r="G115" s="52" t="s">
        <v>143</v>
      </c>
      <c r="H115" s="111" t="s">
        <v>54</v>
      </c>
      <c r="I115" s="111" t="s">
        <v>55</v>
      </c>
      <c r="J115" s="53" t="s">
        <v>23</v>
      </c>
      <c r="K115" s="52"/>
      <c r="L115" s="52"/>
      <c r="M115" s="52"/>
      <c r="N115" s="52" t="s">
        <v>17</v>
      </c>
      <c r="O115" s="51"/>
    </row>
    <row r="116" spans="1:16">
      <c r="A116" s="54"/>
      <c r="B116" s="55"/>
      <c r="C116" s="56"/>
      <c r="D116" s="117" t="str">
        <f t="shared" si="1"/>
        <v/>
      </c>
      <c r="E116" s="59"/>
      <c r="F116" s="60"/>
      <c r="G116" s="58"/>
      <c r="H116" s="33"/>
      <c r="I116" s="33"/>
      <c r="J116" s="33"/>
      <c r="K116" s="58"/>
      <c r="L116" s="58"/>
      <c r="M116" s="58"/>
      <c r="N116" s="58"/>
      <c r="O116" s="61"/>
    </row>
    <row r="117" spans="1:16">
      <c r="A117" s="35"/>
      <c r="B117" s="36"/>
      <c r="C117" s="37"/>
      <c r="D117" s="117" t="str">
        <f t="shared" si="1"/>
        <v/>
      </c>
      <c r="E117" s="42"/>
      <c r="F117" s="43"/>
      <c r="G117" s="41"/>
      <c r="H117" s="40"/>
      <c r="I117" s="40"/>
      <c r="J117" s="40"/>
      <c r="K117" s="41"/>
      <c r="L117" s="41"/>
      <c r="M117" s="41"/>
      <c r="N117" s="41"/>
      <c r="O117" s="44"/>
    </row>
    <row r="118" spans="1:16">
      <c r="A118" s="48" t="s">
        <v>119</v>
      </c>
      <c r="B118" s="49" t="s">
        <v>13</v>
      </c>
      <c r="C118" s="64">
        <v>7102</v>
      </c>
      <c r="D118" s="117" t="str">
        <f t="shared" si="1"/>
        <v>1473-7102</v>
      </c>
      <c r="E118" s="65" t="s">
        <v>144</v>
      </c>
      <c r="F118" s="66"/>
      <c r="G118" s="52" t="s">
        <v>145</v>
      </c>
      <c r="H118" s="111" t="s">
        <v>54</v>
      </c>
      <c r="I118" s="111" t="s">
        <v>55</v>
      </c>
      <c r="J118" s="53" t="s">
        <v>23</v>
      </c>
      <c r="K118" s="52"/>
      <c r="L118" s="52"/>
      <c r="M118" s="52"/>
      <c r="N118" s="52" t="s">
        <v>17</v>
      </c>
      <c r="O118" s="51"/>
    </row>
    <row r="119" spans="1:16">
      <c r="A119" s="54"/>
      <c r="B119" s="55"/>
      <c r="C119" s="56"/>
      <c r="D119" s="117" t="str">
        <f t="shared" si="1"/>
        <v/>
      </c>
      <c r="E119" s="59"/>
      <c r="F119" s="60"/>
      <c r="G119" s="58"/>
      <c r="H119" s="33"/>
      <c r="I119" s="33"/>
      <c r="J119" s="33"/>
      <c r="K119" s="58"/>
      <c r="L119" s="58"/>
      <c r="M119" s="58"/>
      <c r="N119" s="58"/>
      <c r="O119" s="61"/>
    </row>
    <row r="120" spans="1:16">
      <c r="A120" s="35"/>
      <c r="B120" s="36"/>
      <c r="C120" s="37"/>
      <c r="D120" s="117" t="str">
        <f t="shared" si="1"/>
        <v/>
      </c>
      <c r="E120" s="42"/>
      <c r="F120" s="43"/>
      <c r="G120" s="41"/>
      <c r="H120" s="40"/>
      <c r="I120" s="40"/>
      <c r="J120" s="40"/>
      <c r="K120" s="41"/>
      <c r="L120" s="41"/>
      <c r="M120" s="41"/>
      <c r="N120" s="41"/>
      <c r="O120" s="44"/>
    </row>
    <row r="121" spans="1:16">
      <c r="A121" s="48" t="s">
        <v>119</v>
      </c>
      <c r="B121" s="49" t="s">
        <v>13</v>
      </c>
      <c r="C121" s="64">
        <v>7430</v>
      </c>
      <c r="D121" s="117" t="str">
        <f t="shared" si="1"/>
        <v>1473-7430</v>
      </c>
      <c r="E121" s="65" t="s">
        <v>146</v>
      </c>
      <c r="F121" s="66"/>
      <c r="G121" s="52" t="s">
        <v>147</v>
      </c>
      <c r="H121" s="111" t="s">
        <v>54</v>
      </c>
      <c r="I121" s="111" t="s">
        <v>55</v>
      </c>
      <c r="J121" s="53" t="s">
        <v>23</v>
      </c>
      <c r="K121" s="52"/>
      <c r="L121" s="52"/>
      <c r="M121" s="52"/>
      <c r="N121" s="52" t="s">
        <v>17</v>
      </c>
      <c r="O121" s="51"/>
    </row>
    <row r="122" spans="1:16">
      <c r="A122" s="54"/>
      <c r="B122" s="55"/>
      <c r="C122" s="56"/>
      <c r="D122" s="117" t="str">
        <f t="shared" si="1"/>
        <v/>
      </c>
      <c r="E122" s="59"/>
      <c r="F122" s="60"/>
      <c r="G122" s="58"/>
      <c r="H122" s="33"/>
      <c r="I122" s="33"/>
      <c r="J122" s="33"/>
      <c r="K122" s="58"/>
      <c r="L122" s="58"/>
      <c r="M122" s="58"/>
      <c r="N122" s="58"/>
      <c r="O122" s="61"/>
    </row>
    <row r="123" spans="1:16">
      <c r="A123" s="54"/>
      <c r="B123" s="55"/>
      <c r="C123" s="56"/>
      <c r="D123" s="117" t="str">
        <f t="shared" si="1"/>
        <v/>
      </c>
      <c r="E123" s="59"/>
      <c r="F123" s="60"/>
      <c r="G123" s="58"/>
      <c r="H123" s="33"/>
      <c r="I123" s="33"/>
      <c r="J123" s="33"/>
      <c r="K123" s="58"/>
      <c r="L123" s="58"/>
      <c r="M123" s="58"/>
      <c r="N123" s="58"/>
      <c r="O123" s="61"/>
    </row>
    <row r="124" spans="1:16">
      <c r="A124" s="35"/>
      <c r="B124" s="36"/>
      <c r="C124" s="37"/>
      <c r="D124" s="117" t="str">
        <f t="shared" si="1"/>
        <v/>
      </c>
      <c r="E124" s="42"/>
      <c r="F124" s="43"/>
      <c r="G124" s="41"/>
      <c r="H124" s="40"/>
      <c r="I124" s="40"/>
      <c r="J124" s="40"/>
      <c r="K124" s="41"/>
      <c r="L124" s="41"/>
      <c r="M124" s="41"/>
      <c r="N124" s="41"/>
      <c r="O124" s="44"/>
    </row>
    <row r="125" spans="1:16">
      <c r="A125" s="48" t="s">
        <v>119</v>
      </c>
      <c r="B125" s="49" t="s">
        <v>13</v>
      </c>
      <c r="C125" s="64" t="s">
        <v>148</v>
      </c>
      <c r="D125" s="117" t="str">
        <f t="shared" si="1"/>
        <v>1473-7801</v>
      </c>
      <c r="E125" s="65" t="s">
        <v>149</v>
      </c>
      <c r="F125" s="66"/>
      <c r="G125" s="52" t="s">
        <v>150</v>
      </c>
      <c r="H125" s="111" t="s">
        <v>127</v>
      </c>
      <c r="I125" s="111" t="s">
        <v>55</v>
      </c>
      <c r="J125" s="53" t="s">
        <v>23</v>
      </c>
      <c r="K125" s="52"/>
      <c r="L125" s="52"/>
      <c r="M125" s="52"/>
      <c r="N125" s="52" t="s">
        <v>17</v>
      </c>
      <c r="O125" s="51"/>
    </row>
    <row r="126" spans="1:16">
      <c r="A126" s="54"/>
      <c r="B126" s="55"/>
      <c r="C126" s="56"/>
      <c r="D126" s="117" t="str">
        <f t="shared" si="1"/>
        <v/>
      </c>
      <c r="E126" s="59"/>
      <c r="F126" s="60"/>
      <c r="G126" s="58"/>
      <c r="H126" s="33"/>
      <c r="I126" s="33"/>
      <c r="J126" s="33"/>
      <c r="K126" s="58"/>
      <c r="L126" s="58"/>
      <c r="M126" s="58"/>
      <c r="N126" s="58"/>
      <c r="O126" s="61"/>
    </row>
    <row r="127" spans="1:16">
      <c r="A127" s="54"/>
      <c r="B127" s="55"/>
      <c r="C127" s="56"/>
      <c r="D127" s="117" t="str">
        <f t="shared" si="1"/>
        <v/>
      </c>
      <c r="E127" s="59"/>
      <c r="F127" s="60"/>
      <c r="G127" s="58"/>
      <c r="H127" s="33"/>
      <c r="I127" s="33"/>
      <c r="J127" s="33"/>
      <c r="K127" s="58"/>
      <c r="L127" s="58"/>
      <c r="M127" s="58"/>
      <c r="N127" s="58"/>
      <c r="O127" s="61"/>
      <c r="P127" s="34"/>
    </row>
    <row r="128" spans="1:16">
      <c r="A128" s="54"/>
      <c r="B128" s="55"/>
      <c r="C128" s="56"/>
      <c r="D128" s="117" t="str">
        <f t="shared" si="1"/>
        <v/>
      </c>
      <c r="E128" s="59"/>
      <c r="F128" s="60"/>
      <c r="G128" s="58"/>
      <c r="H128" s="33"/>
      <c r="I128" s="33"/>
      <c r="J128" s="33"/>
      <c r="K128" s="58"/>
      <c r="L128" s="58"/>
      <c r="M128" s="58"/>
      <c r="N128" s="58"/>
      <c r="O128" s="61"/>
      <c r="P128" s="34"/>
    </row>
    <row r="129" spans="1:16">
      <c r="A129" s="54"/>
      <c r="B129" s="55"/>
      <c r="C129" s="56"/>
      <c r="D129" s="117" t="str">
        <f t="shared" si="1"/>
        <v/>
      </c>
      <c r="E129" s="59"/>
      <c r="F129" s="60"/>
      <c r="G129" s="58"/>
      <c r="H129" s="33"/>
      <c r="I129" s="33"/>
      <c r="J129" s="33"/>
      <c r="K129" s="58"/>
      <c r="L129" s="58"/>
      <c r="M129" s="58"/>
      <c r="N129" s="58"/>
      <c r="O129" s="61"/>
      <c r="P129" s="34"/>
    </row>
    <row r="130" spans="1:16">
      <c r="A130" s="35"/>
      <c r="B130" s="36"/>
      <c r="C130" s="37"/>
      <c r="D130" s="117" t="str">
        <f t="shared" si="1"/>
        <v/>
      </c>
      <c r="E130" s="42"/>
      <c r="F130" s="43"/>
      <c r="G130" s="41"/>
      <c r="H130" s="40"/>
      <c r="I130" s="40"/>
      <c r="J130" s="40"/>
      <c r="K130" s="41"/>
      <c r="L130" s="41"/>
      <c r="M130" s="41"/>
      <c r="N130" s="41"/>
      <c r="O130" s="44"/>
      <c r="P130" s="34"/>
    </row>
    <row r="131" spans="1:16">
      <c r="A131" s="48" t="s">
        <v>119</v>
      </c>
      <c r="B131" s="49" t="s">
        <v>13</v>
      </c>
      <c r="C131" s="64" t="s">
        <v>154</v>
      </c>
      <c r="D131" s="117" t="str">
        <f t="shared" si="1"/>
        <v>1473-7802</v>
      </c>
      <c r="E131" s="65" t="s">
        <v>155</v>
      </c>
      <c r="F131" s="66"/>
      <c r="G131" s="52" t="s">
        <v>156</v>
      </c>
      <c r="H131" s="111" t="s">
        <v>127</v>
      </c>
      <c r="I131" s="111" t="s">
        <v>55</v>
      </c>
      <c r="J131" s="53" t="s">
        <v>23</v>
      </c>
      <c r="K131" s="52"/>
      <c r="L131" s="52"/>
      <c r="M131" s="52"/>
      <c r="N131" s="52" t="s">
        <v>17</v>
      </c>
      <c r="O131" s="51"/>
      <c r="P131" s="34"/>
    </row>
    <row r="132" spans="1:16">
      <c r="A132" s="54"/>
      <c r="B132" s="55"/>
      <c r="C132" s="56"/>
      <c r="D132" s="117" t="str">
        <f t="shared" si="1"/>
        <v/>
      </c>
      <c r="E132" s="59"/>
      <c r="F132" s="60"/>
      <c r="G132" s="58"/>
      <c r="H132" s="33"/>
      <c r="I132" s="33"/>
      <c r="J132" s="33"/>
      <c r="K132" s="58"/>
      <c r="L132" s="58"/>
      <c r="M132" s="58"/>
      <c r="N132" s="58"/>
      <c r="O132" s="61"/>
      <c r="P132" s="34"/>
    </row>
    <row r="133" spans="1:16">
      <c r="A133" s="54"/>
      <c r="B133" s="55"/>
      <c r="C133" s="56"/>
      <c r="D133" s="117" t="str">
        <f t="shared" ref="D133:D196" si="2">_xlfn.CONCAT(A133,B133,C133)</f>
        <v/>
      </c>
      <c r="E133" s="59"/>
      <c r="F133" s="60"/>
      <c r="G133" s="58"/>
      <c r="H133" s="33"/>
      <c r="I133" s="33"/>
      <c r="J133" s="33"/>
      <c r="K133" s="58"/>
      <c r="L133" s="58"/>
      <c r="M133" s="58"/>
      <c r="N133" s="58"/>
      <c r="O133" s="61"/>
      <c r="P133" s="34"/>
    </row>
    <row r="134" spans="1:16">
      <c r="A134" s="35"/>
      <c r="B134" s="36"/>
      <c r="C134" s="37"/>
      <c r="D134" s="117" t="str">
        <f t="shared" si="2"/>
        <v/>
      </c>
      <c r="E134" s="42"/>
      <c r="F134" s="43"/>
      <c r="G134" s="41"/>
      <c r="H134" s="40"/>
      <c r="I134" s="40"/>
      <c r="J134" s="40"/>
      <c r="K134" s="41"/>
      <c r="L134" s="41"/>
      <c r="M134" s="41"/>
      <c r="N134" s="41"/>
      <c r="O134" s="44"/>
      <c r="P134" s="34"/>
    </row>
    <row r="135" spans="1:16">
      <c r="A135" s="48" t="s">
        <v>119</v>
      </c>
      <c r="B135" s="49" t="s">
        <v>13</v>
      </c>
      <c r="C135" s="64">
        <v>7803</v>
      </c>
      <c r="D135" s="117" t="str">
        <f t="shared" si="2"/>
        <v>1473-7803</v>
      </c>
      <c r="E135" s="65" t="s">
        <v>159</v>
      </c>
      <c r="F135" s="66"/>
      <c r="G135" s="52" t="s">
        <v>160</v>
      </c>
      <c r="H135" s="111" t="s">
        <v>127</v>
      </c>
      <c r="I135" s="111" t="s">
        <v>55</v>
      </c>
      <c r="J135" s="53" t="s">
        <v>23</v>
      </c>
      <c r="K135" s="52"/>
      <c r="L135" s="52"/>
      <c r="M135" s="52"/>
      <c r="N135" s="52" t="s">
        <v>17</v>
      </c>
      <c r="O135" s="51"/>
      <c r="P135" s="34"/>
    </row>
    <row r="136" spans="1:16">
      <c r="A136" s="35"/>
      <c r="B136" s="36"/>
      <c r="C136" s="37"/>
      <c r="D136" s="117" t="str">
        <f t="shared" si="2"/>
        <v/>
      </c>
      <c r="E136" s="42"/>
      <c r="F136" s="43"/>
      <c r="G136" s="41"/>
      <c r="H136" s="40"/>
      <c r="I136" s="40"/>
      <c r="J136" s="40"/>
      <c r="K136" s="41"/>
      <c r="L136" s="41"/>
      <c r="M136" s="41"/>
      <c r="N136" s="41"/>
      <c r="O136" s="44"/>
      <c r="P136" s="34"/>
    </row>
    <row r="137" spans="1:16">
      <c r="A137" s="30" t="s">
        <v>119</v>
      </c>
      <c r="B137" s="31" t="s">
        <v>13</v>
      </c>
      <c r="C137" s="26" t="s">
        <v>107</v>
      </c>
      <c r="D137" s="117" t="str">
        <f t="shared" si="2"/>
        <v>1473-Z000</v>
      </c>
      <c r="E137" s="24" t="s">
        <v>108</v>
      </c>
      <c r="F137" s="25"/>
      <c r="G137" s="17" t="s">
        <v>161</v>
      </c>
      <c r="H137" s="111" t="s">
        <v>127</v>
      </c>
      <c r="I137" s="111" t="s">
        <v>55</v>
      </c>
      <c r="J137" s="22" t="s">
        <v>23</v>
      </c>
      <c r="K137" s="17"/>
      <c r="L137" s="17"/>
      <c r="M137" s="17"/>
      <c r="N137" s="17"/>
      <c r="O137" s="21"/>
      <c r="P137" s="23"/>
    </row>
    <row r="138" spans="1:16">
      <c r="A138" s="30"/>
      <c r="B138" s="31"/>
      <c r="C138" s="26"/>
      <c r="D138" s="117" t="str">
        <f t="shared" si="2"/>
        <v/>
      </c>
      <c r="E138" s="24"/>
      <c r="F138" s="25"/>
      <c r="G138" s="17"/>
      <c r="H138" s="22"/>
      <c r="I138" s="22"/>
      <c r="J138" s="22"/>
      <c r="K138" s="17"/>
      <c r="L138" s="17"/>
      <c r="M138" s="17"/>
      <c r="N138" s="17"/>
      <c r="O138" s="21"/>
      <c r="P138" s="23"/>
    </row>
    <row r="139" spans="1:16">
      <c r="A139" s="14" t="s">
        <v>162</v>
      </c>
      <c r="B139" s="15"/>
      <c r="C139" s="16" t="s">
        <v>9</v>
      </c>
      <c r="D139" s="117" t="str">
        <f t="shared" si="2"/>
        <v>1474</v>
      </c>
      <c r="E139" s="91" t="s">
        <v>163</v>
      </c>
      <c r="F139" s="106"/>
      <c r="G139" s="17"/>
      <c r="H139" s="107"/>
      <c r="I139" s="107"/>
      <c r="J139" s="107"/>
      <c r="K139" s="17"/>
      <c r="L139" s="17"/>
      <c r="M139" s="17"/>
      <c r="N139" s="17"/>
      <c r="O139" s="21"/>
      <c r="P139" s="23"/>
    </row>
    <row r="140" spans="1:16">
      <c r="A140" s="86" t="s">
        <v>162</v>
      </c>
      <c r="B140" s="87" t="s">
        <v>13</v>
      </c>
      <c r="C140" s="64">
        <v>7001</v>
      </c>
      <c r="D140" s="117" t="str">
        <f t="shared" si="2"/>
        <v>1474-7001</v>
      </c>
      <c r="E140" s="65" t="s">
        <v>164</v>
      </c>
      <c r="F140" s="66"/>
      <c r="G140" s="52" t="s">
        <v>165</v>
      </c>
      <c r="H140" s="111" t="s">
        <v>166</v>
      </c>
      <c r="I140" s="111" t="s">
        <v>55</v>
      </c>
      <c r="J140" s="53" t="s">
        <v>23</v>
      </c>
      <c r="K140" s="52"/>
      <c r="L140" s="52"/>
      <c r="M140" s="52"/>
      <c r="N140" s="52" t="s">
        <v>17</v>
      </c>
      <c r="O140" s="51"/>
      <c r="P140" s="34"/>
    </row>
    <row r="141" spans="1:16">
      <c r="A141" s="86" t="s">
        <v>162</v>
      </c>
      <c r="B141" s="87" t="s">
        <v>13</v>
      </c>
      <c r="C141" s="64">
        <v>7002</v>
      </c>
      <c r="D141" s="117" t="str">
        <f t="shared" si="2"/>
        <v>1474-7002</v>
      </c>
      <c r="E141" s="65" t="s">
        <v>167</v>
      </c>
      <c r="F141" s="66"/>
      <c r="G141" s="52" t="s">
        <v>168</v>
      </c>
      <c r="H141" s="111" t="s">
        <v>166</v>
      </c>
      <c r="I141" s="111" t="s">
        <v>55</v>
      </c>
      <c r="J141" s="53" t="s">
        <v>23</v>
      </c>
      <c r="K141" s="52"/>
      <c r="L141" s="52"/>
      <c r="M141" s="52"/>
      <c r="N141" s="52" t="s">
        <v>17</v>
      </c>
      <c r="O141" s="51"/>
      <c r="P141" s="34"/>
    </row>
    <row r="142" spans="1:16">
      <c r="A142" s="67"/>
      <c r="B142" s="68"/>
      <c r="C142" s="56"/>
      <c r="D142" s="117" t="str">
        <f t="shared" si="2"/>
        <v/>
      </c>
      <c r="E142" s="59"/>
      <c r="F142" s="60"/>
      <c r="G142" s="58"/>
      <c r="H142" s="33"/>
      <c r="I142" s="33"/>
      <c r="J142" s="33"/>
      <c r="K142" s="58"/>
      <c r="L142" s="58"/>
      <c r="M142" s="58"/>
      <c r="N142" s="58"/>
      <c r="O142" s="61"/>
      <c r="P142" s="34"/>
    </row>
    <row r="143" spans="1:16">
      <c r="A143" s="69"/>
      <c r="B143" s="70"/>
      <c r="C143" s="37"/>
      <c r="D143" s="117" t="str">
        <f t="shared" si="2"/>
        <v/>
      </c>
      <c r="E143" s="42"/>
      <c r="F143" s="43"/>
      <c r="G143" s="41"/>
      <c r="H143" s="40"/>
      <c r="I143" s="40"/>
      <c r="J143" s="40"/>
      <c r="K143" s="41"/>
      <c r="L143" s="41"/>
      <c r="M143" s="41"/>
      <c r="N143" s="41"/>
      <c r="O143" s="44"/>
    </row>
    <row r="144" spans="1:16">
      <c r="A144" s="48" t="s">
        <v>162</v>
      </c>
      <c r="B144" s="49" t="s">
        <v>13</v>
      </c>
      <c r="C144" s="64">
        <v>7100</v>
      </c>
      <c r="D144" s="117" t="str">
        <f t="shared" si="2"/>
        <v>1474-7100</v>
      </c>
      <c r="E144" s="65" t="s">
        <v>169</v>
      </c>
      <c r="F144" s="66"/>
      <c r="G144" s="52" t="s">
        <v>170</v>
      </c>
      <c r="H144" s="111" t="s">
        <v>166</v>
      </c>
      <c r="I144" s="111" t="s">
        <v>55</v>
      </c>
      <c r="J144" s="53" t="s">
        <v>23</v>
      </c>
      <c r="K144" s="52"/>
      <c r="L144" s="52"/>
      <c r="M144" s="52"/>
      <c r="N144" s="52" t="s">
        <v>17</v>
      </c>
      <c r="O144" s="51"/>
    </row>
    <row r="145" spans="1:16">
      <c r="A145" s="54"/>
      <c r="B145" s="55"/>
      <c r="C145" s="56"/>
      <c r="D145" s="117" t="str">
        <f t="shared" si="2"/>
        <v/>
      </c>
      <c r="E145" s="59"/>
      <c r="F145" s="60"/>
      <c r="G145" s="58"/>
      <c r="H145" s="33"/>
      <c r="I145" s="33"/>
      <c r="J145" s="33"/>
      <c r="K145" s="58"/>
      <c r="L145" s="58"/>
      <c r="M145" s="58"/>
      <c r="N145" s="58"/>
      <c r="O145" s="61"/>
    </row>
    <row r="146" spans="1:16">
      <c r="A146" s="35"/>
      <c r="B146" s="36"/>
      <c r="C146" s="37"/>
      <c r="D146" s="117" t="str">
        <f t="shared" si="2"/>
        <v/>
      </c>
      <c r="E146" s="42"/>
      <c r="F146" s="43"/>
      <c r="G146" s="41"/>
      <c r="H146" s="40"/>
      <c r="I146" s="40"/>
      <c r="J146" s="40"/>
      <c r="K146" s="41"/>
      <c r="L146" s="41"/>
      <c r="M146" s="41"/>
      <c r="N146" s="41"/>
      <c r="O146" s="44"/>
    </row>
    <row r="147" spans="1:16">
      <c r="A147" s="48" t="s">
        <v>162</v>
      </c>
      <c r="B147" s="49" t="s">
        <v>13</v>
      </c>
      <c r="C147" s="64">
        <v>7320</v>
      </c>
      <c r="D147" s="117" t="str">
        <f t="shared" si="2"/>
        <v>1474-7320</v>
      </c>
      <c r="E147" s="65" t="s">
        <v>171</v>
      </c>
      <c r="F147" s="66"/>
      <c r="G147" s="52" t="s">
        <v>172</v>
      </c>
      <c r="H147" s="111" t="s">
        <v>166</v>
      </c>
      <c r="I147" s="111" t="s">
        <v>55</v>
      </c>
      <c r="J147" s="53" t="s">
        <v>23</v>
      </c>
      <c r="K147" s="52"/>
      <c r="L147" s="52"/>
      <c r="M147" s="52"/>
      <c r="N147" s="52" t="s">
        <v>17</v>
      </c>
      <c r="O147" s="51"/>
    </row>
    <row r="148" spans="1:16">
      <c r="A148" s="54"/>
      <c r="B148" s="55"/>
      <c r="C148" s="56"/>
      <c r="D148" s="117" t="str">
        <f t="shared" si="2"/>
        <v/>
      </c>
      <c r="E148" s="59"/>
      <c r="F148" s="60"/>
      <c r="G148" s="58"/>
      <c r="H148" s="33"/>
      <c r="I148" s="33"/>
      <c r="J148" s="33"/>
      <c r="K148" s="58"/>
      <c r="L148" s="58"/>
      <c r="M148" s="58"/>
      <c r="N148" s="58"/>
      <c r="O148" s="61"/>
    </row>
    <row r="149" spans="1:16">
      <c r="A149" s="54"/>
      <c r="B149" s="55"/>
      <c r="C149" s="56"/>
      <c r="D149" s="117" t="str">
        <f t="shared" si="2"/>
        <v/>
      </c>
      <c r="E149" s="59"/>
      <c r="F149" s="60"/>
      <c r="G149" s="58"/>
      <c r="H149" s="33"/>
      <c r="I149" s="33"/>
      <c r="J149" s="33"/>
      <c r="K149" s="58"/>
      <c r="L149" s="58"/>
      <c r="M149" s="58"/>
      <c r="N149" s="58"/>
      <c r="O149" s="61"/>
    </row>
    <row r="150" spans="1:16">
      <c r="A150" s="35"/>
      <c r="B150" s="36"/>
      <c r="C150" s="37"/>
      <c r="D150" s="117" t="str">
        <f t="shared" si="2"/>
        <v/>
      </c>
      <c r="E150" s="42"/>
      <c r="F150" s="43"/>
      <c r="G150" s="41"/>
      <c r="H150" s="40"/>
      <c r="I150" s="40"/>
      <c r="J150" s="40"/>
      <c r="K150" s="41"/>
      <c r="L150" s="41"/>
      <c r="M150" s="41"/>
      <c r="N150" s="41"/>
      <c r="O150" s="44"/>
    </row>
    <row r="151" spans="1:16">
      <c r="A151" s="48" t="s">
        <v>162</v>
      </c>
      <c r="B151" s="49" t="s">
        <v>13</v>
      </c>
      <c r="C151" s="64">
        <v>7330</v>
      </c>
      <c r="D151" s="117" t="str">
        <f t="shared" si="2"/>
        <v>1474-7330</v>
      </c>
      <c r="E151" s="65" t="s">
        <v>173</v>
      </c>
      <c r="F151" s="66"/>
      <c r="G151" s="52" t="s">
        <v>174</v>
      </c>
      <c r="H151" s="111" t="s">
        <v>166</v>
      </c>
      <c r="I151" s="111" t="s">
        <v>55</v>
      </c>
      <c r="J151" s="53" t="s">
        <v>23</v>
      </c>
      <c r="K151" s="52"/>
      <c r="L151" s="52"/>
      <c r="M151" s="52"/>
      <c r="N151" s="52" t="s">
        <v>17</v>
      </c>
      <c r="O151" s="51"/>
    </row>
    <row r="152" spans="1:16">
      <c r="A152" s="54"/>
      <c r="B152" s="55"/>
      <c r="C152" s="56"/>
      <c r="D152" s="117" t="str">
        <f t="shared" si="2"/>
        <v/>
      </c>
      <c r="E152" s="59"/>
      <c r="F152" s="60"/>
      <c r="G152" s="58"/>
      <c r="H152" s="33"/>
      <c r="I152" s="33"/>
      <c r="J152" s="33"/>
      <c r="K152" s="58"/>
      <c r="L152" s="58"/>
      <c r="M152" s="58"/>
      <c r="N152" s="58"/>
      <c r="O152" s="61"/>
    </row>
    <row r="153" spans="1:16">
      <c r="A153" s="54"/>
      <c r="B153" s="55"/>
      <c r="C153" s="56"/>
      <c r="D153" s="117" t="str">
        <f t="shared" si="2"/>
        <v/>
      </c>
      <c r="E153" s="59"/>
      <c r="F153" s="60"/>
      <c r="G153" s="58"/>
      <c r="H153" s="33"/>
      <c r="I153" s="33"/>
      <c r="J153" s="33"/>
      <c r="K153" s="58"/>
      <c r="L153" s="58"/>
      <c r="M153" s="58"/>
      <c r="N153" s="58"/>
      <c r="O153" s="61"/>
    </row>
    <row r="154" spans="1:16">
      <c r="A154" s="35"/>
      <c r="B154" s="36"/>
      <c r="C154" s="37"/>
      <c r="D154" s="117" t="str">
        <f t="shared" si="2"/>
        <v/>
      </c>
      <c r="E154" s="42"/>
      <c r="F154" s="43"/>
      <c r="G154" s="41"/>
      <c r="H154" s="40"/>
      <c r="I154" s="40"/>
      <c r="J154" s="40"/>
      <c r="K154" s="41"/>
      <c r="L154" s="41"/>
      <c r="M154" s="41"/>
      <c r="N154" s="41"/>
      <c r="O154" s="44"/>
    </row>
    <row r="155" spans="1:16">
      <c r="A155" s="48" t="s">
        <v>162</v>
      </c>
      <c r="B155" s="49" t="s">
        <v>13</v>
      </c>
      <c r="C155" s="64">
        <v>7340</v>
      </c>
      <c r="D155" s="117" t="str">
        <f t="shared" si="2"/>
        <v>1474-7340</v>
      </c>
      <c r="E155" s="65" t="s">
        <v>175</v>
      </c>
      <c r="F155" s="66"/>
      <c r="G155" s="52" t="s">
        <v>176</v>
      </c>
      <c r="H155" s="111" t="s">
        <v>166</v>
      </c>
      <c r="I155" s="111" t="s">
        <v>55</v>
      </c>
      <c r="J155" s="53" t="s">
        <v>23</v>
      </c>
      <c r="K155" s="52"/>
      <c r="L155" s="52"/>
      <c r="M155" s="52"/>
      <c r="N155" s="52" t="s">
        <v>17</v>
      </c>
      <c r="O155" s="51"/>
    </row>
    <row r="156" spans="1:16">
      <c r="A156" s="54"/>
      <c r="B156" s="55"/>
      <c r="C156" s="56"/>
      <c r="D156" s="117" t="str">
        <f t="shared" si="2"/>
        <v/>
      </c>
      <c r="E156" s="59"/>
      <c r="F156" s="60"/>
      <c r="G156" s="58"/>
      <c r="H156" s="33"/>
      <c r="I156" s="33"/>
      <c r="J156" s="33"/>
      <c r="K156" s="58"/>
      <c r="L156" s="58"/>
      <c r="M156" s="58"/>
      <c r="N156" s="58"/>
      <c r="O156" s="61"/>
    </row>
    <row r="157" spans="1:16">
      <c r="A157" s="54"/>
      <c r="B157" s="55"/>
      <c r="C157" s="56"/>
      <c r="D157" s="117" t="str">
        <f t="shared" si="2"/>
        <v/>
      </c>
      <c r="E157" s="59"/>
      <c r="F157" s="60"/>
      <c r="G157" s="58"/>
      <c r="H157" s="33"/>
      <c r="I157" s="33"/>
      <c r="J157" s="33"/>
      <c r="K157" s="58"/>
      <c r="L157" s="58"/>
      <c r="M157" s="58"/>
      <c r="N157" s="58"/>
      <c r="O157" s="61"/>
    </row>
    <row r="158" spans="1:16">
      <c r="A158" s="35"/>
      <c r="B158" s="36"/>
      <c r="C158" s="37"/>
      <c r="D158" s="117" t="str">
        <f t="shared" si="2"/>
        <v/>
      </c>
      <c r="E158" s="42"/>
      <c r="F158" s="43"/>
      <c r="G158" s="41"/>
      <c r="H158" s="40"/>
      <c r="I158" s="40"/>
      <c r="J158" s="40"/>
      <c r="K158" s="41"/>
      <c r="L158" s="41"/>
      <c r="M158" s="41"/>
      <c r="N158" s="41"/>
      <c r="O158" s="44"/>
    </row>
    <row r="159" spans="1:16">
      <c r="A159" s="86" t="s">
        <v>162</v>
      </c>
      <c r="B159" s="87" t="s">
        <v>13</v>
      </c>
      <c r="C159" s="64">
        <v>7410</v>
      </c>
      <c r="D159" s="117" t="str">
        <f t="shared" si="2"/>
        <v>1474-7410</v>
      </c>
      <c r="E159" s="65" t="s">
        <v>177</v>
      </c>
      <c r="F159" s="66"/>
      <c r="G159" s="52" t="s">
        <v>178</v>
      </c>
      <c r="H159" s="111" t="s">
        <v>166</v>
      </c>
      <c r="I159" s="111" t="s">
        <v>55</v>
      </c>
      <c r="J159" s="53" t="s">
        <v>23</v>
      </c>
      <c r="K159" s="52"/>
      <c r="L159" s="52"/>
      <c r="M159" s="52"/>
      <c r="N159" s="52" t="s">
        <v>17</v>
      </c>
      <c r="O159" s="51"/>
      <c r="P159" s="34"/>
    </row>
    <row r="160" spans="1:16">
      <c r="A160" s="67"/>
      <c r="B160" s="68"/>
      <c r="C160" s="56"/>
      <c r="D160" s="117" t="str">
        <f t="shared" si="2"/>
        <v/>
      </c>
      <c r="E160" s="59"/>
      <c r="F160" s="60"/>
      <c r="G160" s="58"/>
      <c r="H160" s="33"/>
      <c r="I160" s="33"/>
      <c r="J160" s="33"/>
      <c r="K160" s="58"/>
      <c r="L160" s="58"/>
      <c r="M160" s="58"/>
      <c r="N160" s="58"/>
      <c r="O160" s="61"/>
      <c r="P160" s="34"/>
    </row>
    <row r="161" spans="1:16">
      <c r="A161" s="67"/>
      <c r="B161" s="68"/>
      <c r="C161" s="56"/>
      <c r="D161" s="117" t="str">
        <f t="shared" si="2"/>
        <v/>
      </c>
      <c r="E161" s="59"/>
      <c r="F161" s="60"/>
      <c r="G161" s="58"/>
      <c r="H161" s="33"/>
      <c r="I161" s="33"/>
      <c r="J161" s="33"/>
      <c r="K161" s="58"/>
      <c r="L161" s="58"/>
      <c r="M161" s="58"/>
      <c r="N161" s="58"/>
      <c r="O161" s="61"/>
      <c r="P161" s="34"/>
    </row>
    <row r="162" spans="1:16">
      <c r="A162" s="69"/>
      <c r="B162" s="70"/>
      <c r="C162" s="37"/>
      <c r="D162" s="117" t="str">
        <f t="shared" si="2"/>
        <v/>
      </c>
      <c r="E162" s="42"/>
      <c r="F162" s="43"/>
      <c r="G162" s="41"/>
      <c r="H162" s="40"/>
      <c r="I162" s="40"/>
      <c r="J162" s="40"/>
      <c r="K162" s="41"/>
      <c r="L162" s="41"/>
      <c r="M162" s="41"/>
      <c r="N162" s="41"/>
      <c r="O162" s="44"/>
      <c r="P162" s="34"/>
    </row>
    <row r="163" spans="1:16">
      <c r="A163" s="86" t="s">
        <v>162</v>
      </c>
      <c r="B163" s="87" t="s">
        <v>13</v>
      </c>
      <c r="C163" s="64" t="s">
        <v>179</v>
      </c>
      <c r="D163" s="117" t="str">
        <f t="shared" si="2"/>
        <v>1474-7800</v>
      </c>
      <c r="E163" s="65" t="s">
        <v>180</v>
      </c>
      <c r="F163" s="66"/>
      <c r="G163" s="52" t="s">
        <v>181</v>
      </c>
      <c r="H163" s="111" t="s">
        <v>166</v>
      </c>
      <c r="I163" s="111" t="s">
        <v>55</v>
      </c>
      <c r="J163" s="53" t="s">
        <v>23</v>
      </c>
      <c r="K163" s="52"/>
      <c r="L163" s="52"/>
      <c r="M163" s="52"/>
      <c r="N163" s="52" t="s">
        <v>17</v>
      </c>
      <c r="O163" s="51"/>
      <c r="P163" s="34"/>
    </row>
    <row r="164" spans="1:16">
      <c r="A164" s="67"/>
      <c r="B164" s="68"/>
      <c r="C164" s="56"/>
      <c r="D164" s="117" t="str">
        <f t="shared" si="2"/>
        <v/>
      </c>
      <c r="E164" s="59"/>
      <c r="F164" s="60"/>
      <c r="G164" s="58"/>
      <c r="H164" s="33"/>
      <c r="I164" s="33"/>
      <c r="J164" s="33"/>
      <c r="K164" s="58"/>
      <c r="L164" s="58"/>
      <c r="M164" s="58"/>
      <c r="N164" s="58"/>
      <c r="O164" s="61"/>
      <c r="P164" s="34"/>
    </row>
    <row r="165" spans="1:16">
      <c r="A165" s="67"/>
      <c r="B165" s="68"/>
      <c r="C165" s="56"/>
      <c r="D165" s="117" t="str">
        <f t="shared" si="2"/>
        <v/>
      </c>
      <c r="E165" s="59"/>
      <c r="F165" s="60"/>
      <c r="G165" s="58"/>
      <c r="H165" s="33"/>
      <c r="I165" s="33"/>
      <c r="J165" s="33"/>
      <c r="K165" s="58"/>
      <c r="L165" s="58"/>
      <c r="M165" s="58"/>
      <c r="N165" s="58"/>
      <c r="O165" s="61"/>
      <c r="P165" s="34"/>
    </row>
    <row r="166" spans="1:16">
      <c r="A166" s="69"/>
      <c r="B166" s="70"/>
      <c r="C166" s="37"/>
      <c r="D166" s="117" t="str">
        <f t="shared" si="2"/>
        <v/>
      </c>
      <c r="E166" s="42"/>
      <c r="F166" s="43"/>
      <c r="G166" s="41"/>
      <c r="H166" s="40"/>
      <c r="I166" s="40"/>
      <c r="J166" s="40"/>
      <c r="K166" s="41"/>
      <c r="L166" s="41"/>
      <c r="M166" s="41"/>
      <c r="N166" s="41"/>
      <c r="O166" s="44"/>
      <c r="P166" s="34"/>
    </row>
    <row r="167" spans="1:16">
      <c r="A167" s="30" t="s">
        <v>162</v>
      </c>
      <c r="B167" s="31" t="s">
        <v>13</v>
      </c>
      <c r="C167" s="26" t="s">
        <v>107</v>
      </c>
      <c r="D167" s="117" t="str">
        <f t="shared" si="2"/>
        <v>1474-Z000</v>
      </c>
      <c r="E167" s="24" t="s">
        <v>108</v>
      </c>
      <c r="F167" s="25"/>
      <c r="G167" s="17" t="s">
        <v>182</v>
      </c>
      <c r="H167" s="111" t="s">
        <v>166</v>
      </c>
      <c r="I167" s="111" t="s">
        <v>55</v>
      </c>
      <c r="J167" s="22" t="s">
        <v>23</v>
      </c>
      <c r="K167" s="17"/>
      <c r="L167" s="17"/>
      <c r="M167" s="17"/>
      <c r="N167" s="17"/>
      <c r="O167" s="21"/>
      <c r="P167" s="23"/>
    </row>
    <row r="168" spans="1:16">
      <c r="A168" s="30"/>
      <c r="B168" s="31"/>
      <c r="C168" s="26"/>
      <c r="D168" s="117" t="str">
        <f t="shared" si="2"/>
        <v/>
      </c>
      <c r="E168" s="24"/>
      <c r="F168" s="25"/>
      <c r="G168" s="17"/>
      <c r="H168" s="22"/>
      <c r="I168" s="22"/>
      <c r="J168" s="22"/>
      <c r="K168" s="17"/>
      <c r="L168" s="17"/>
      <c r="M168" s="17"/>
      <c r="N168" s="17"/>
      <c r="O168" s="21"/>
      <c r="P168" s="23"/>
    </row>
    <row r="169" spans="1:16">
      <c r="A169" s="14" t="s">
        <v>183</v>
      </c>
      <c r="B169" s="15"/>
      <c r="C169" s="16" t="s">
        <v>9</v>
      </c>
      <c r="D169" s="117" t="str">
        <f t="shared" si="2"/>
        <v>1475</v>
      </c>
      <c r="E169" s="91" t="s">
        <v>184</v>
      </c>
      <c r="F169" s="106"/>
      <c r="G169" s="17"/>
      <c r="H169" s="107"/>
      <c r="I169" s="107"/>
      <c r="J169" s="107"/>
      <c r="K169" s="17"/>
      <c r="L169" s="17"/>
      <c r="M169" s="17"/>
      <c r="N169" s="17"/>
      <c r="O169" s="21"/>
      <c r="P169" s="23"/>
    </row>
    <row r="170" spans="1:16">
      <c r="A170" s="30" t="s">
        <v>183</v>
      </c>
      <c r="B170" s="31" t="s">
        <v>13</v>
      </c>
      <c r="C170" s="26">
        <v>7000</v>
      </c>
      <c r="D170" s="117" t="str">
        <f t="shared" si="2"/>
        <v>1475-7000</v>
      </c>
      <c r="E170" s="24" t="s">
        <v>185</v>
      </c>
      <c r="F170" s="25"/>
      <c r="G170" s="17" t="s">
        <v>186</v>
      </c>
      <c r="H170" s="111" t="s">
        <v>127</v>
      </c>
      <c r="I170" s="111" t="s">
        <v>55</v>
      </c>
      <c r="J170" s="22" t="s">
        <v>23</v>
      </c>
      <c r="K170" s="17"/>
      <c r="L170" s="17"/>
      <c r="M170" s="17"/>
      <c r="N170" s="17" t="s">
        <v>17</v>
      </c>
      <c r="O170" s="21"/>
      <c r="P170" s="23"/>
    </row>
    <row r="171" spans="1:16">
      <c r="A171" s="30" t="s">
        <v>183</v>
      </c>
      <c r="B171" s="31" t="s">
        <v>13</v>
      </c>
      <c r="C171" s="26">
        <v>7800</v>
      </c>
      <c r="D171" s="117" t="str">
        <f t="shared" si="2"/>
        <v>1475-7800</v>
      </c>
      <c r="E171" s="24" t="s">
        <v>187</v>
      </c>
      <c r="F171" s="25"/>
      <c r="G171" s="17" t="s">
        <v>188</v>
      </c>
      <c r="H171" s="111" t="s">
        <v>127</v>
      </c>
      <c r="I171" s="111" t="s">
        <v>55</v>
      </c>
      <c r="J171" s="22" t="s">
        <v>23</v>
      </c>
      <c r="K171" s="17"/>
      <c r="L171" s="17"/>
      <c r="M171" s="17"/>
      <c r="N171" s="17" t="s">
        <v>17</v>
      </c>
      <c r="O171" s="21"/>
      <c r="P171" s="23"/>
    </row>
    <row r="172" spans="1:16">
      <c r="A172" s="30" t="s">
        <v>183</v>
      </c>
      <c r="B172" s="31" t="s">
        <v>13</v>
      </c>
      <c r="C172" s="26">
        <v>7900</v>
      </c>
      <c r="D172" s="117" t="str">
        <f t="shared" si="2"/>
        <v>1475-7900</v>
      </c>
      <c r="E172" s="24" t="s">
        <v>189</v>
      </c>
      <c r="F172" s="25"/>
      <c r="G172" s="17" t="s">
        <v>190</v>
      </c>
      <c r="H172" s="111" t="s">
        <v>127</v>
      </c>
      <c r="I172" s="111" t="s">
        <v>55</v>
      </c>
      <c r="J172" s="22" t="s">
        <v>23</v>
      </c>
      <c r="K172" s="17"/>
      <c r="L172" s="17"/>
      <c r="M172" s="17"/>
      <c r="N172" s="17" t="s">
        <v>17</v>
      </c>
      <c r="O172" s="21"/>
      <c r="P172" s="23"/>
    </row>
    <row r="173" spans="1:16">
      <c r="A173" s="30"/>
      <c r="B173" s="31"/>
      <c r="C173" s="26"/>
      <c r="D173" s="117" t="str">
        <f t="shared" si="2"/>
        <v/>
      </c>
      <c r="E173" s="24"/>
      <c r="F173" s="25"/>
      <c r="G173" s="17"/>
      <c r="H173" s="22"/>
      <c r="I173" s="22"/>
      <c r="J173" s="22"/>
      <c r="K173" s="17"/>
      <c r="L173" s="17"/>
      <c r="M173" s="17"/>
      <c r="N173" s="17"/>
      <c r="O173" s="21"/>
      <c r="P173" s="23"/>
    </row>
    <row r="174" spans="1:16">
      <c r="A174" s="14" t="s">
        <v>152</v>
      </c>
      <c r="B174" s="15"/>
      <c r="C174" s="16" t="s">
        <v>9</v>
      </c>
      <c r="D174" s="117" t="str">
        <f t="shared" si="2"/>
        <v>1476</v>
      </c>
      <c r="E174" s="91" t="s">
        <v>191</v>
      </c>
      <c r="F174" s="106"/>
      <c r="G174" s="17"/>
      <c r="H174" s="107"/>
      <c r="I174" s="107"/>
      <c r="J174" s="107"/>
      <c r="K174" s="17"/>
      <c r="L174" s="17"/>
      <c r="M174" s="17"/>
      <c r="N174" s="17"/>
      <c r="O174" s="21"/>
      <c r="P174" s="23"/>
    </row>
    <row r="175" spans="1:16">
      <c r="A175" s="86" t="s">
        <v>152</v>
      </c>
      <c r="B175" s="87" t="s">
        <v>13</v>
      </c>
      <c r="C175" s="64" t="s">
        <v>62</v>
      </c>
      <c r="D175" s="117" t="str">
        <f t="shared" si="2"/>
        <v>1476-7000</v>
      </c>
      <c r="E175" s="65" t="s">
        <v>192</v>
      </c>
      <c r="F175" s="66"/>
      <c r="G175" s="52" t="s">
        <v>193</v>
      </c>
      <c r="H175" s="111" t="s">
        <v>127</v>
      </c>
      <c r="I175" s="111" t="s">
        <v>55</v>
      </c>
      <c r="J175" s="53" t="s">
        <v>23</v>
      </c>
      <c r="K175" s="52"/>
      <c r="L175" s="52"/>
      <c r="M175" s="52"/>
      <c r="N175" s="52" t="s">
        <v>17</v>
      </c>
      <c r="O175" s="51"/>
    </row>
    <row r="176" spans="1:16">
      <c r="A176" s="67"/>
      <c r="B176" s="68"/>
      <c r="C176" s="56"/>
      <c r="D176" s="117" t="str">
        <f t="shared" si="2"/>
        <v/>
      </c>
      <c r="E176" s="59"/>
      <c r="F176" s="60"/>
      <c r="G176" s="58"/>
      <c r="H176" s="33"/>
      <c r="I176" s="33"/>
      <c r="J176" s="33"/>
      <c r="K176" s="58"/>
      <c r="L176" s="58"/>
      <c r="M176" s="58"/>
      <c r="N176" s="58"/>
      <c r="O176" s="61"/>
    </row>
    <row r="177" spans="1:15">
      <c r="A177" s="67"/>
      <c r="B177" s="68"/>
      <c r="C177" s="56"/>
      <c r="D177" s="117" t="str">
        <f t="shared" si="2"/>
        <v/>
      </c>
      <c r="E177" s="59"/>
      <c r="F177" s="60"/>
      <c r="G177" s="58"/>
      <c r="H177" s="33"/>
      <c r="I177" s="33"/>
      <c r="J177" s="33"/>
      <c r="K177" s="58"/>
      <c r="L177" s="58"/>
      <c r="M177" s="58"/>
      <c r="N177" s="58"/>
      <c r="O177" s="61"/>
    </row>
    <row r="178" spans="1:15">
      <c r="A178" s="69"/>
      <c r="B178" s="70"/>
      <c r="C178" s="37"/>
      <c r="D178" s="117" t="str">
        <f t="shared" si="2"/>
        <v/>
      </c>
      <c r="E178" s="42"/>
      <c r="F178" s="43"/>
      <c r="G178" s="41"/>
      <c r="H178" s="40"/>
      <c r="I178" s="40"/>
      <c r="J178" s="40"/>
      <c r="K178" s="41"/>
      <c r="L178" s="41"/>
      <c r="M178" s="41"/>
      <c r="N178" s="41"/>
      <c r="O178" s="44"/>
    </row>
    <row r="179" spans="1:15">
      <c r="A179" s="86" t="s">
        <v>152</v>
      </c>
      <c r="B179" s="87" t="s">
        <v>13</v>
      </c>
      <c r="C179" s="64" t="s">
        <v>65</v>
      </c>
      <c r="D179" s="117" t="str">
        <f t="shared" si="2"/>
        <v>1476-7001</v>
      </c>
      <c r="E179" s="65" t="s">
        <v>196</v>
      </c>
      <c r="F179" s="66"/>
      <c r="G179" s="52" t="s">
        <v>197</v>
      </c>
      <c r="H179" s="111" t="s">
        <v>127</v>
      </c>
      <c r="I179" s="111" t="s">
        <v>55</v>
      </c>
      <c r="J179" s="53" t="s">
        <v>23</v>
      </c>
      <c r="K179" s="52"/>
      <c r="L179" s="52"/>
      <c r="M179" s="52"/>
      <c r="N179" s="52" t="s">
        <v>17</v>
      </c>
      <c r="O179" s="51"/>
    </row>
    <row r="180" spans="1:15">
      <c r="A180" s="67"/>
      <c r="B180" s="68"/>
      <c r="C180" s="56"/>
      <c r="D180" s="117" t="str">
        <f t="shared" si="2"/>
        <v/>
      </c>
      <c r="E180" s="59"/>
      <c r="F180" s="60"/>
      <c r="G180" s="58"/>
      <c r="H180" s="33"/>
      <c r="I180" s="33"/>
      <c r="J180" s="33"/>
      <c r="K180" s="58"/>
      <c r="L180" s="58"/>
      <c r="M180" s="58"/>
      <c r="N180" s="58"/>
      <c r="O180" s="61"/>
    </row>
    <row r="181" spans="1:15">
      <c r="A181" s="67"/>
      <c r="B181" s="68"/>
      <c r="C181" s="56"/>
      <c r="D181" s="117" t="str">
        <f t="shared" si="2"/>
        <v/>
      </c>
      <c r="E181" s="59"/>
      <c r="F181" s="60"/>
      <c r="G181" s="58"/>
      <c r="H181" s="33"/>
      <c r="I181" s="33"/>
      <c r="J181" s="33"/>
      <c r="K181" s="58"/>
      <c r="L181" s="58"/>
      <c r="M181" s="58"/>
      <c r="N181" s="58"/>
      <c r="O181" s="61"/>
    </row>
    <row r="182" spans="1:15">
      <c r="A182" s="69"/>
      <c r="B182" s="70"/>
      <c r="C182" s="37"/>
      <c r="D182" s="117" t="str">
        <f t="shared" si="2"/>
        <v/>
      </c>
      <c r="E182" s="42"/>
      <c r="F182" s="43"/>
      <c r="G182" s="41"/>
      <c r="H182" s="40"/>
      <c r="I182" s="40"/>
      <c r="J182" s="40"/>
      <c r="K182" s="41"/>
      <c r="L182" s="41"/>
      <c r="M182" s="41"/>
      <c r="N182" s="41"/>
      <c r="O182" s="44"/>
    </row>
    <row r="183" spans="1:15">
      <c r="A183" s="48" t="s">
        <v>152</v>
      </c>
      <c r="B183" s="49" t="s">
        <v>13</v>
      </c>
      <c r="C183" s="64" t="s">
        <v>198</v>
      </c>
      <c r="D183" s="117" t="str">
        <f t="shared" si="2"/>
        <v>1476-7200</v>
      </c>
      <c r="E183" s="65" t="s">
        <v>199</v>
      </c>
      <c r="F183" s="66"/>
      <c r="G183" s="52" t="s">
        <v>200</v>
      </c>
      <c r="H183" s="111" t="s">
        <v>127</v>
      </c>
      <c r="I183" s="111" t="s">
        <v>55</v>
      </c>
      <c r="J183" s="53" t="s">
        <v>23</v>
      </c>
      <c r="K183" s="52"/>
      <c r="L183" s="52"/>
      <c r="M183" s="52"/>
      <c r="N183" s="52" t="s">
        <v>17</v>
      </c>
      <c r="O183" s="51"/>
    </row>
    <row r="184" spans="1:15">
      <c r="A184" s="54"/>
      <c r="B184" s="55"/>
      <c r="C184" s="56"/>
      <c r="D184" s="117" t="str">
        <f t="shared" si="2"/>
        <v/>
      </c>
      <c r="E184" s="59"/>
      <c r="F184" s="60"/>
      <c r="G184" s="58"/>
      <c r="H184" s="33"/>
      <c r="I184" s="33"/>
      <c r="J184" s="33"/>
      <c r="K184" s="58"/>
      <c r="L184" s="58"/>
      <c r="M184" s="58"/>
      <c r="N184" s="58"/>
      <c r="O184" s="61"/>
    </row>
    <row r="185" spans="1:15">
      <c r="A185" s="54"/>
      <c r="B185" s="55"/>
      <c r="C185" s="56"/>
      <c r="D185" s="117" t="str">
        <f t="shared" si="2"/>
        <v/>
      </c>
      <c r="E185" s="59"/>
      <c r="F185" s="60"/>
      <c r="G185" s="58"/>
      <c r="H185" s="33"/>
      <c r="I185" s="33"/>
      <c r="J185" s="33"/>
      <c r="K185" s="58"/>
      <c r="L185" s="58"/>
      <c r="M185" s="58"/>
      <c r="N185" s="58"/>
      <c r="O185" s="61"/>
    </row>
    <row r="186" spans="1:15">
      <c r="A186" s="54"/>
      <c r="B186" s="55"/>
      <c r="C186" s="56"/>
      <c r="D186" s="117" t="str">
        <f t="shared" si="2"/>
        <v/>
      </c>
      <c r="E186" s="59"/>
      <c r="F186" s="60"/>
      <c r="G186" s="58"/>
      <c r="H186" s="33"/>
      <c r="I186" s="33"/>
      <c r="J186" s="33"/>
      <c r="K186" s="58"/>
      <c r="L186" s="58"/>
      <c r="M186" s="58"/>
      <c r="N186" s="58"/>
      <c r="O186" s="61"/>
    </row>
    <row r="187" spans="1:15">
      <c r="A187" s="54"/>
      <c r="B187" s="55"/>
      <c r="C187" s="56"/>
      <c r="D187" s="117" t="str">
        <f t="shared" si="2"/>
        <v/>
      </c>
      <c r="E187" s="59"/>
      <c r="F187" s="60"/>
      <c r="G187" s="58"/>
      <c r="H187" s="33"/>
      <c r="I187" s="33"/>
      <c r="J187" s="33"/>
      <c r="K187" s="58"/>
      <c r="L187" s="58"/>
      <c r="M187" s="58"/>
      <c r="N187" s="58"/>
      <c r="O187" s="61"/>
    </row>
    <row r="188" spans="1:15">
      <c r="A188" s="54"/>
      <c r="B188" s="55"/>
      <c r="C188" s="56"/>
      <c r="D188" s="117" t="str">
        <f t="shared" si="2"/>
        <v/>
      </c>
      <c r="E188" s="59"/>
      <c r="F188" s="60"/>
      <c r="G188" s="58"/>
      <c r="H188" s="33"/>
      <c r="I188" s="33"/>
      <c r="J188" s="33"/>
      <c r="K188" s="58"/>
      <c r="L188" s="58"/>
      <c r="M188" s="58"/>
      <c r="N188" s="58"/>
      <c r="O188" s="61"/>
    </row>
    <row r="189" spans="1:15">
      <c r="A189" s="54"/>
      <c r="B189" s="55"/>
      <c r="C189" s="56"/>
      <c r="D189" s="117" t="str">
        <f t="shared" si="2"/>
        <v/>
      </c>
      <c r="E189" s="59"/>
      <c r="F189" s="60"/>
      <c r="G189" s="58"/>
      <c r="H189" s="33"/>
      <c r="I189" s="33"/>
      <c r="J189" s="33"/>
      <c r="K189" s="58"/>
      <c r="L189" s="58"/>
      <c r="M189" s="58"/>
      <c r="N189" s="58"/>
      <c r="O189" s="61"/>
    </row>
    <row r="190" spans="1:15">
      <c r="A190" s="54"/>
      <c r="B190" s="55"/>
      <c r="C190" s="56"/>
      <c r="D190" s="117" t="str">
        <f t="shared" si="2"/>
        <v/>
      </c>
      <c r="E190" s="59"/>
      <c r="F190" s="60"/>
      <c r="G190" s="58"/>
      <c r="H190" s="33"/>
      <c r="I190" s="33"/>
      <c r="J190" s="33"/>
      <c r="K190" s="58"/>
      <c r="L190" s="58"/>
      <c r="M190" s="58"/>
      <c r="N190" s="58"/>
      <c r="O190" s="61"/>
    </row>
    <row r="191" spans="1:15">
      <c r="A191" s="54"/>
      <c r="B191" s="55"/>
      <c r="C191" s="56"/>
      <c r="D191" s="117" t="str">
        <f t="shared" si="2"/>
        <v/>
      </c>
      <c r="E191" s="59"/>
      <c r="F191" s="60"/>
      <c r="G191" s="58"/>
      <c r="H191" s="33"/>
      <c r="I191" s="33"/>
      <c r="J191" s="33"/>
      <c r="K191" s="58"/>
      <c r="L191" s="58"/>
      <c r="M191" s="58"/>
      <c r="N191" s="58"/>
      <c r="O191" s="61"/>
    </row>
    <row r="192" spans="1:15">
      <c r="A192" s="35"/>
      <c r="B192" s="36"/>
      <c r="C192" s="37"/>
      <c r="D192" s="117" t="str">
        <f t="shared" si="2"/>
        <v/>
      </c>
      <c r="E192" s="42"/>
      <c r="F192" s="43"/>
      <c r="G192" s="41"/>
      <c r="H192" s="40"/>
      <c r="I192" s="40"/>
      <c r="J192" s="40"/>
      <c r="K192" s="41"/>
      <c r="L192" s="41"/>
      <c r="M192" s="41"/>
      <c r="N192" s="41"/>
      <c r="O192" s="44"/>
    </row>
    <row r="193" spans="1:16">
      <c r="A193" s="86" t="s">
        <v>152</v>
      </c>
      <c r="B193" s="87" t="s">
        <v>13</v>
      </c>
      <c r="C193" s="64" t="s">
        <v>158</v>
      </c>
      <c r="D193" s="117" t="str">
        <f t="shared" si="2"/>
        <v>1476-7300</v>
      </c>
      <c r="E193" s="65" t="s">
        <v>157</v>
      </c>
      <c r="F193" s="66"/>
      <c r="G193" s="52" t="s">
        <v>201</v>
      </c>
      <c r="H193" s="111" t="s">
        <v>127</v>
      </c>
      <c r="I193" s="111" t="s">
        <v>55</v>
      </c>
      <c r="J193" s="53" t="s">
        <v>23</v>
      </c>
      <c r="K193" s="52"/>
      <c r="L193" s="52"/>
      <c r="M193" s="52"/>
      <c r="N193" s="52" t="s">
        <v>17</v>
      </c>
      <c r="O193" s="51"/>
    </row>
    <row r="194" spans="1:16">
      <c r="A194" s="67"/>
      <c r="B194" s="68"/>
      <c r="C194" s="56"/>
      <c r="D194" s="117" t="str">
        <f t="shared" si="2"/>
        <v/>
      </c>
      <c r="E194" s="59"/>
      <c r="F194" s="60"/>
      <c r="G194" s="58"/>
      <c r="H194" s="33"/>
      <c r="I194" s="33"/>
      <c r="J194" s="33"/>
      <c r="K194" s="58"/>
      <c r="L194" s="58"/>
      <c r="M194" s="58"/>
      <c r="N194" s="58"/>
      <c r="O194" s="61"/>
    </row>
    <row r="195" spans="1:16">
      <c r="A195" s="67"/>
      <c r="B195" s="68"/>
      <c r="C195" s="56"/>
      <c r="D195" s="117" t="str">
        <f t="shared" si="2"/>
        <v/>
      </c>
      <c r="E195" s="59"/>
      <c r="F195" s="60"/>
      <c r="G195" s="58"/>
      <c r="H195" s="33"/>
      <c r="I195" s="33"/>
      <c r="J195" s="33"/>
      <c r="K195" s="58"/>
      <c r="L195" s="58"/>
      <c r="M195" s="58"/>
      <c r="N195" s="58"/>
      <c r="O195" s="61"/>
    </row>
    <row r="196" spans="1:16">
      <c r="A196" s="69"/>
      <c r="B196" s="70"/>
      <c r="C196" s="37"/>
      <c r="D196" s="117" t="str">
        <f t="shared" si="2"/>
        <v/>
      </c>
      <c r="E196" s="42"/>
      <c r="F196" s="43"/>
      <c r="G196" s="41"/>
      <c r="H196" s="40"/>
      <c r="I196" s="40"/>
      <c r="J196" s="40"/>
      <c r="K196" s="41"/>
      <c r="L196" s="41"/>
      <c r="M196" s="41"/>
      <c r="N196" s="41"/>
      <c r="O196" s="44"/>
    </row>
    <row r="197" spans="1:16">
      <c r="A197" s="48" t="s">
        <v>152</v>
      </c>
      <c r="B197" s="49" t="s">
        <v>13</v>
      </c>
      <c r="C197" s="64" t="s">
        <v>202</v>
      </c>
      <c r="D197" s="117" t="str">
        <f t="shared" ref="D197:D259" si="3">_xlfn.CONCAT(A197,B197,C197)</f>
        <v>1476-7700</v>
      </c>
      <c r="E197" s="65" t="s">
        <v>203</v>
      </c>
      <c r="F197" s="66"/>
      <c r="G197" s="52" t="s">
        <v>205</v>
      </c>
      <c r="H197" s="111" t="s">
        <v>127</v>
      </c>
      <c r="I197" s="111" t="s">
        <v>55</v>
      </c>
      <c r="J197" s="53" t="s">
        <v>23</v>
      </c>
      <c r="K197" s="52"/>
      <c r="L197" s="52"/>
      <c r="M197" s="52"/>
      <c r="N197" s="52" t="s">
        <v>17</v>
      </c>
      <c r="O197" s="51"/>
    </row>
    <row r="198" spans="1:16">
      <c r="A198" s="54"/>
      <c r="B198" s="55"/>
      <c r="C198" s="56"/>
      <c r="D198" s="117" t="str">
        <f t="shared" si="3"/>
        <v/>
      </c>
      <c r="E198" s="59"/>
      <c r="F198" s="60"/>
      <c r="G198" s="58"/>
      <c r="H198" s="33"/>
      <c r="I198" s="33"/>
      <c r="J198" s="33"/>
      <c r="K198" s="58"/>
      <c r="L198" s="58"/>
      <c r="M198" s="58"/>
      <c r="N198" s="58"/>
      <c r="O198" s="61"/>
    </row>
    <row r="199" spans="1:16">
      <c r="A199" s="54"/>
      <c r="B199" s="55"/>
      <c r="C199" s="56"/>
      <c r="D199" s="117" t="str">
        <f t="shared" si="3"/>
        <v/>
      </c>
      <c r="E199" s="59"/>
      <c r="F199" s="60"/>
      <c r="G199" s="58"/>
      <c r="H199" s="33"/>
      <c r="I199" s="33"/>
      <c r="J199" s="33"/>
      <c r="K199" s="58"/>
      <c r="L199" s="58"/>
      <c r="M199" s="58"/>
      <c r="N199" s="58"/>
      <c r="O199" s="61"/>
    </row>
    <row r="200" spans="1:16">
      <c r="A200" s="54"/>
      <c r="B200" s="55"/>
      <c r="C200" s="56"/>
      <c r="D200" s="117" t="str">
        <f t="shared" si="3"/>
        <v/>
      </c>
      <c r="E200" s="59"/>
      <c r="F200" s="60"/>
      <c r="G200" s="58"/>
      <c r="H200" s="33"/>
      <c r="I200" s="33"/>
      <c r="J200" s="33"/>
      <c r="K200" s="58"/>
      <c r="L200" s="58"/>
      <c r="M200" s="58"/>
      <c r="N200" s="58"/>
      <c r="O200" s="61"/>
    </row>
    <row r="201" spans="1:16">
      <c r="A201" s="35"/>
      <c r="B201" s="36"/>
      <c r="C201" s="37"/>
      <c r="D201" s="117" t="str">
        <f t="shared" si="3"/>
        <v/>
      </c>
      <c r="E201" s="42"/>
      <c r="F201" s="43"/>
      <c r="G201" s="41"/>
      <c r="H201" s="40"/>
      <c r="I201" s="40"/>
      <c r="J201" s="40"/>
      <c r="K201" s="41"/>
      <c r="L201" s="41"/>
      <c r="M201" s="41"/>
      <c r="N201" s="41"/>
      <c r="O201" s="44"/>
    </row>
    <row r="202" spans="1:16">
      <c r="A202" s="30" t="s">
        <v>152</v>
      </c>
      <c r="B202" s="31" t="s">
        <v>13</v>
      </c>
      <c r="C202" s="26">
        <v>7810</v>
      </c>
      <c r="D202" s="117" t="str">
        <f t="shared" si="3"/>
        <v>1476-7810</v>
      </c>
      <c r="E202" s="24" t="s">
        <v>206</v>
      </c>
      <c r="F202" s="25"/>
      <c r="G202" s="17" t="s">
        <v>207</v>
      </c>
      <c r="H202" s="111" t="s">
        <v>127</v>
      </c>
      <c r="I202" s="111" t="s">
        <v>55</v>
      </c>
      <c r="J202" s="22" t="s">
        <v>23</v>
      </c>
      <c r="K202" s="17"/>
      <c r="L202" s="17"/>
      <c r="M202" s="17" t="s">
        <v>17</v>
      </c>
      <c r="N202" s="17" t="s">
        <v>17</v>
      </c>
      <c r="O202" s="21" t="s">
        <v>208</v>
      </c>
    </row>
    <row r="203" spans="1:16">
      <c r="A203" s="18" t="s">
        <v>152</v>
      </c>
      <c r="B203" s="19" t="s">
        <v>13</v>
      </c>
      <c r="C203" s="26">
        <v>7820</v>
      </c>
      <c r="D203" s="117" t="str">
        <f t="shared" si="3"/>
        <v>1476-7820</v>
      </c>
      <c r="E203" s="24" t="s">
        <v>151</v>
      </c>
      <c r="F203" s="25"/>
      <c r="G203" s="17" t="s">
        <v>209</v>
      </c>
      <c r="H203" s="111" t="s">
        <v>127</v>
      </c>
      <c r="I203" s="111" t="s">
        <v>55</v>
      </c>
      <c r="J203" s="22" t="s">
        <v>23</v>
      </c>
      <c r="K203" s="17"/>
      <c r="L203" s="17"/>
      <c r="M203" s="17"/>
      <c r="N203" s="17" t="s">
        <v>17</v>
      </c>
      <c r="O203" s="21"/>
    </row>
    <row r="204" spans="1:16">
      <c r="A204" s="48" t="s">
        <v>152</v>
      </c>
      <c r="B204" s="49" t="s">
        <v>13</v>
      </c>
      <c r="C204" s="64">
        <v>7840</v>
      </c>
      <c r="D204" s="117" t="str">
        <f t="shared" si="3"/>
        <v>1476-7840</v>
      </c>
      <c r="E204" s="65" t="s">
        <v>210</v>
      </c>
      <c r="F204" s="66"/>
      <c r="G204" s="52" t="s">
        <v>211</v>
      </c>
      <c r="H204" s="111" t="s">
        <v>127</v>
      </c>
      <c r="I204" s="111" t="s">
        <v>55</v>
      </c>
      <c r="J204" s="53" t="s">
        <v>23</v>
      </c>
      <c r="K204" s="52"/>
      <c r="L204" s="52"/>
      <c r="M204" s="52"/>
      <c r="N204" s="52" t="s">
        <v>17</v>
      </c>
      <c r="O204" s="51"/>
    </row>
    <row r="205" spans="1:16">
      <c r="A205" s="54"/>
      <c r="B205" s="55"/>
      <c r="C205" s="56"/>
      <c r="D205" s="117" t="str">
        <f t="shared" si="3"/>
        <v/>
      </c>
      <c r="E205" s="59"/>
      <c r="F205" s="60"/>
      <c r="G205" s="58"/>
      <c r="H205" s="33"/>
      <c r="I205" s="33"/>
      <c r="J205" s="33"/>
      <c r="K205" s="58"/>
      <c r="L205" s="58"/>
      <c r="M205" s="58"/>
      <c r="N205" s="58"/>
      <c r="O205" s="61"/>
    </row>
    <row r="206" spans="1:16">
      <c r="A206" s="67"/>
      <c r="B206" s="68"/>
      <c r="C206" s="56"/>
      <c r="D206" s="117" t="str">
        <f t="shared" si="3"/>
        <v/>
      </c>
      <c r="E206" s="59"/>
      <c r="F206" s="60"/>
      <c r="G206" s="58"/>
      <c r="H206" s="33"/>
      <c r="I206" s="33"/>
      <c r="J206" s="33"/>
      <c r="K206" s="58"/>
      <c r="L206" s="58"/>
      <c r="M206" s="58"/>
      <c r="N206" s="58"/>
      <c r="O206" s="61"/>
    </row>
    <row r="207" spans="1:16">
      <c r="A207" s="69"/>
      <c r="B207" s="70"/>
      <c r="C207" s="37"/>
      <c r="D207" s="117" t="str">
        <f t="shared" si="3"/>
        <v/>
      </c>
      <c r="E207" s="42"/>
      <c r="F207" s="43"/>
      <c r="G207" s="41"/>
      <c r="H207" s="40"/>
      <c r="I207" s="40"/>
      <c r="J207" s="40"/>
      <c r="K207" s="41"/>
      <c r="L207" s="41"/>
      <c r="M207" s="41"/>
      <c r="N207" s="41"/>
      <c r="O207" s="44"/>
      <c r="P207" s="34"/>
    </row>
    <row r="208" spans="1:16">
      <c r="A208" s="30" t="s">
        <v>152</v>
      </c>
      <c r="B208" s="31" t="s">
        <v>13</v>
      </c>
      <c r="C208" s="26" t="s">
        <v>107</v>
      </c>
      <c r="D208" s="117" t="str">
        <f t="shared" si="3"/>
        <v>1476-Z000</v>
      </c>
      <c r="E208" s="24" t="s">
        <v>108</v>
      </c>
      <c r="F208" s="25"/>
      <c r="G208" s="17"/>
      <c r="H208" s="22"/>
      <c r="I208" s="22"/>
      <c r="J208" s="22"/>
      <c r="K208" s="17"/>
      <c r="L208" s="17"/>
      <c r="M208" s="17"/>
      <c r="N208" s="17"/>
      <c r="O208" s="21"/>
      <c r="P208" s="23"/>
    </row>
    <row r="209" spans="1:16">
      <c r="A209" s="30"/>
      <c r="B209" s="31"/>
      <c r="C209" s="26"/>
      <c r="D209" s="117" t="str">
        <f t="shared" si="3"/>
        <v/>
      </c>
      <c r="E209" s="24"/>
      <c r="F209" s="25"/>
      <c r="G209" s="17"/>
      <c r="H209" s="22"/>
      <c r="I209" s="22"/>
      <c r="J209" s="22"/>
      <c r="K209" s="17"/>
      <c r="L209" s="17"/>
      <c r="M209" s="17"/>
      <c r="N209" s="17"/>
      <c r="O209" s="21"/>
      <c r="P209" s="23"/>
    </row>
    <row r="210" spans="1:16">
      <c r="A210" s="14" t="s">
        <v>212</v>
      </c>
      <c r="B210" s="15"/>
      <c r="C210" s="16" t="s">
        <v>9</v>
      </c>
      <c r="D210" s="117" t="str">
        <f t="shared" si="3"/>
        <v>1477</v>
      </c>
      <c r="E210" s="91" t="s">
        <v>213</v>
      </c>
      <c r="F210" s="106"/>
      <c r="G210" s="17"/>
      <c r="H210" s="107"/>
      <c r="I210" s="107"/>
      <c r="J210" s="107"/>
      <c r="K210" s="17"/>
      <c r="L210" s="17"/>
      <c r="M210" s="17"/>
      <c r="N210" s="17"/>
      <c r="O210" s="21"/>
      <c r="P210" s="23"/>
    </row>
    <row r="211" spans="1:16">
      <c r="A211" s="48" t="s">
        <v>212</v>
      </c>
      <c r="B211" s="49" t="s">
        <v>13</v>
      </c>
      <c r="C211" s="64">
        <v>7820</v>
      </c>
      <c r="D211" s="117" t="str">
        <f t="shared" si="3"/>
        <v>1477-7820</v>
      </c>
      <c r="E211" s="65" t="s">
        <v>214</v>
      </c>
      <c r="F211" s="66"/>
      <c r="G211" s="52" t="s">
        <v>215</v>
      </c>
      <c r="H211" s="111" t="s">
        <v>127</v>
      </c>
      <c r="I211" s="111" t="s">
        <v>55</v>
      </c>
      <c r="J211" s="53" t="s">
        <v>23</v>
      </c>
      <c r="K211" s="52"/>
      <c r="L211" s="52"/>
      <c r="M211" s="52"/>
      <c r="N211" s="52" t="s">
        <v>17</v>
      </c>
      <c r="O211" s="51"/>
      <c r="P211" s="34"/>
    </row>
    <row r="212" spans="1:16">
      <c r="A212" s="54"/>
      <c r="B212" s="55"/>
      <c r="C212" s="56"/>
      <c r="D212" s="117" t="str">
        <f t="shared" si="3"/>
        <v/>
      </c>
      <c r="E212" s="59"/>
      <c r="F212" s="60"/>
      <c r="G212" s="58"/>
      <c r="H212" s="33"/>
      <c r="I212" s="33"/>
      <c r="J212" s="33"/>
      <c r="K212" s="58"/>
      <c r="L212" s="58"/>
      <c r="M212" s="58"/>
      <c r="N212" s="58"/>
      <c r="O212" s="61"/>
      <c r="P212" s="34"/>
    </row>
    <row r="213" spans="1:16">
      <c r="A213" s="54"/>
      <c r="B213" s="55"/>
      <c r="C213" s="56"/>
      <c r="D213" s="117" t="str">
        <f t="shared" si="3"/>
        <v/>
      </c>
      <c r="E213" s="59"/>
      <c r="F213" s="60"/>
      <c r="G213" s="58"/>
      <c r="H213" s="33"/>
      <c r="I213" s="33"/>
      <c r="J213" s="33"/>
      <c r="K213" s="58"/>
      <c r="L213" s="58"/>
      <c r="M213" s="58"/>
      <c r="N213" s="58"/>
      <c r="O213" s="61"/>
      <c r="P213" s="34"/>
    </row>
    <row r="214" spans="1:16">
      <c r="A214" s="35"/>
      <c r="B214" s="36"/>
      <c r="C214" s="37"/>
      <c r="D214" s="117" t="str">
        <f t="shared" si="3"/>
        <v/>
      </c>
      <c r="E214" s="42"/>
      <c r="F214" s="43"/>
      <c r="G214" s="41"/>
      <c r="H214" s="40"/>
      <c r="I214" s="40"/>
      <c r="J214" s="40"/>
      <c r="K214" s="41"/>
      <c r="L214" s="41"/>
      <c r="M214" s="41"/>
      <c r="N214" s="41"/>
      <c r="O214" s="44"/>
      <c r="P214" s="34"/>
    </row>
    <row r="215" spans="1:16">
      <c r="A215" s="86" t="s">
        <v>212</v>
      </c>
      <c r="B215" s="87" t="s">
        <v>13</v>
      </c>
      <c r="C215" s="64">
        <v>7830</v>
      </c>
      <c r="D215" s="117" t="str">
        <f t="shared" si="3"/>
        <v>1477-7830</v>
      </c>
      <c r="E215" s="65" t="s">
        <v>216</v>
      </c>
      <c r="F215" s="66"/>
      <c r="G215" s="52" t="s">
        <v>217</v>
      </c>
      <c r="H215" s="111" t="s">
        <v>127</v>
      </c>
      <c r="I215" s="111" t="s">
        <v>55</v>
      </c>
      <c r="J215" s="53" t="s">
        <v>23</v>
      </c>
      <c r="K215" s="52"/>
      <c r="L215" s="52"/>
      <c r="M215" s="52"/>
      <c r="N215" s="52" t="s">
        <v>17</v>
      </c>
      <c r="O215" s="51"/>
      <c r="P215" s="34"/>
    </row>
    <row r="216" spans="1:16">
      <c r="A216" s="67"/>
      <c r="B216" s="68"/>
      <c r="C216" s="56"/>
      <c r="D216" s="117" t="str">
        <f t="shared" si="3"/>
        <v/>
      </c>
      <c r="E216" s="59"/>
      <c r="F216" s="60"/>
      <c r="G216" s="58"/>
      <c r="H216" s="33"/>
      <c r="I216" s="33"/>
      <c r="J216" s="33"/>
      <c r="K216" s="58"/>
      <c r="L216" s="58"/>
      <c r="M216" s="58"/>
      <c r="N216" s="58"/>
      <c r="O216" s="61"/>
      <c r="P216" s="34"/>
    </row>
    <row r="217" spans="1:16">
      <c r="A217" s="69"/>
      <c r="B217" s="70"/>
      <c r="C217" s="37"/>
      <c r="D217" s="117" t="str">
        <f t="shared" si="3"/>
        <v/>
      </c>
      <c r="E217" s="42"/>
      <c r="F217" s="43"/>
      <c r="G217" s="41"/>
      <c r="H217" s="40"/>
      <c r="I217" s="40"/>
      <c r="J217" s="40"/>
      <c r="K217" s="41"/>
      <c r="L217" s="41"/>
      <c r="M217" s="41"/>
      <c r="N217" s="41"/>
      <c r="O217" s="44"/>
      <c r="P217" s="34"/>
    </row>
    <row r="218" spans="1:16">
      <c r="A218" s="48" t="s">
        <v>212</v>
      </c>
      <c r="B218" s="49" t="s">
        <v>13</v>
      </c>
      <c r="C218" s="64">
        <v>7840</v>
      </c>
      <c r="D218" s="117" t="str">
        <f t="shared" si="3"/>
        <v>1477-7840</v>
      </c>
      <c r="E218" s="65" t="s">
        <v>218</v>
      </c>
      <c r="F218" s="66"/>
      <c r="G218" s="52" t="s">
        <v>219</v>
      </c>
      <c r="H218" s="111" t="s">
        <v>127</v>
      </c>
      <c r="I218" s="111" t="s">
        <v>55</v>
      </c>
      <c r="J218" s="53" t="s">
        <v>23</v>
      </c>
      <c r="K218" s="52"/>
      <c r="L218" s="52"/>
      <c r="M218" s="52"/>
      <c r="N218" s="52" t="s">
        <v>17</v>
      </c>
      <c r="O218" s="51"/>
      <c r="P218" s="34"/>
    </row>
    <row r="219" spans="1:16">
      <c r="A219" s="35"/>
      <c r="B219" s="36"/>
      <c r="C219" s="37"/>
      <c r="D219" s="117" t="str">
        <f t="shared" si="3"/>
        <v/>
      </c>
      <c r="E219" s="42"/>
      <c r="F219" s="43"/>
      <c r="G219" s="41"/>
      <c r="H219" s="40"/>
      <c r="I219" s="40"/>
      <c r="J219" s="40"/>
      <c r="K219" s="41"/>
      <c r="L219" s="41"/>
      <c r="M219" s="41"/>
      <c r="N219" s="41"/>
      <c r="O219" s="44"/>
      <c r="P219" s="34"/>
    </row>
    <row r="220" spans="1:16">
      <c r="A220" s="48" t="s">
        <v>212</v>
      </c>
      <c r="B220" s="87" t="s">
        <v>13</v>
      </c>
      <c r="C220" s="64" t="s">
        <v>220</v>
      </c>
      <c r="D220" s="117" t="str">
        <f t="shared" si="3"/>
        <v>1477-700Z</v>
      </c>
      <c r="E220" s="65" t="s">
        <v>221</v>
      </c>
      <c r="F220" s="66"/>
      <c r="G220" s="52" t="s">
        <v>222</v>
      </c>
      <c r="H220" s="111" t="s">
        <v>127</v>
      </c>
      <c r="I220" s="111" t="s">
        <v>55</v>
      </c>
      <c r="J220" s="53" t="s">
        <v>23</v>
      </c>
      <c r="K220" s="52"/>
      <c r="L220" s="52"/>
      <c r="M220" s="52" t="s">
        <v>76</v>
      </c>
      <c r="N220" s="52" t="s">
        <v>17</v>
      </c>
      <c r="O220" s="51"/>
      <c r="P220" s="34"/>
    </row>
    <row r="221" spans="1:16">
      <c r="A221" s="69"/>
      <c r="B221" s="70"/>
      <c r="C221" s="37"/>
      <c r="D221" s="117" t="str">
        <f t="shared" si="3"/>
        <v/>
      </c>
      <c r="E221" s="42"/>
      <c r="F221" s="43"/>
      <c r="G221" s="41"/>
      <c r="H221" s="40"/>
      <c r="I221" s="40"/>
      <c r="J221" s="40"/>
      <c r="K221" s="41"/>
      <c r="L221" s="41"/>
      <c r="M221" s="41"/>
      <c r="N221" s="41"/>
      <c r="O221" s="44"/>
      <c r="P221" s="34"/>
    </row>
    <row r="222" spans="1:16">
      <c r="A222" s="30" t="s">
        <v>212</v>
      </c>
      <c r="B222" s="31" t="s">
        <v>13</v>
      </c>
      <c r="C222" s="26" t="s">
        <v>107</v>
      </c>
      <c r="D222" s="117" t="str">
        <f t="shared" si="3"/>
        <v>1477-Z000</v>
      </c>
      <c r="E222" s="24" t="s">
        <v>108</v>
      </c>
      <c r="F222" s="25"/>
      <c r="G222" s="17" t="s">
        <v>223</v>
      </c>
      <c r="H222" s="111" t="s">
        <v>127</v>
      </c>
      <c r="I222" s="111" t="s">
        <v>55</v>
      </c>
      <c r="J222" s="22" t="s">
        <v>23</v>
      </c>
      <c r="K222" s="17"/>
      <c r="L222" s="17"/>
      <c r="M222" s="17"/>
      <c r="N222" s="17"/>
      <c r="O222" s="21"/>
      <c r="P222" s="23"/>
    </row>
    <row r="223" spans="1:16">
      <c r="A223" s="30"/>
      <c r="B223" s="31"/>
      <c r="C223" s="26"/>
      <c r="D223" s="117" t="str">
        <f t="shared" si="3"/>
        <v/>
      </c>
      <c r="E223" s="24"/>
      <c r="F223" s="25"/>
      <c r="G223" s="17"/>
      <c r="H223" s="22"/>
      <c r="I223" s="22"/>
      <c r="J223" s="22"/>
      <c r="K223" s="17"/>
      <c r="L223" s="17"/>
      <c r="M223" s="17"/>
      <c r="N223" s="17"/>
      <c r="O223" s="21"/>
      <c r="P223" s="23"/>
    </row>
    <row r="224" spans="1:16">
      <c r="A224" s="14" t="s">
        <v>92</v>
      </c>
      <c r="B224" s="15"/>
      <c r="C224" s="16" t="s">
        <v>9</v>
      </c>
      <c r="D224" s="117" t="str">
        <f t="shared" si="3"/>
        <v>1478</v>
      </c>
      <c r="E224" s="45" t="s">
        <v>224</v>
      </c>
      <c r="F224" s="109"/>
      <c r="G224" s="17"/>
      <c r="H224" s="47"/>
      <c r="I224" s="47"/>
      <c r="J224" s="47"/>
      <c r="K224" s="17"/>
      <c r="L224" s="17"/>
      <c r="M224" s="17"/>
      <c r="N224" s="17"/>
      <c r="O224" s="21" t="s">
        <v>225</v>
      </c>
      <c r="P224" s="23"/>
    </row>
    <row r="225" spans="1:16">
      <c r="A225" s="30" t="s">
        <v>92</v>
      </c>
      <c r="B225" s="31" t="s">
        <v>13</v>
      </c>
      <c r="C225" s="26" t="s">
        <v>62</v>
      </c>
      <c r="D225" s="117" t="str">
        <f t="shared" si="3"/>
        <v>1478-7000</v>
      </c>
      <c r="E225" s="24" t="s">
        <v>226</v>
      </c>
      <c r="F225" s="25"/>
      <c r="G225" s="17" t="s">
        <v>227</v>
      </c>
      <c r="H225" s="111" t="s">
        <v>54</v>
      </c>
      <c r="I225" s="111" t="s">
        <v>55</v>
      </c>
      <c r="J225" s="22" t="s">
        <v>23</v>
      </c>
      <c r="K225" s="17"/>
      <c r="L225" s="76" t="s">
        <v>61</v>
      </c>
      <c r="M225" s="17" t="s">
        <v>17</v>
      </c>
      <c r="N225" s="17" t="s">
        <v>17</v>
      </c>
      <c r="O225" s="21"/>
      <c r="P225" s="23"/>
    </row>
    <row r="226" spans="1:16">
      <c r="A226" s="18" t="s">
        <v>92</v>
      </c>
      <c r="B226" s="19" t="s">
        <v>13</v>
      </c>
      <c r="C226" s="26" t="s">
        <v>65</v>
      </c>
      <c r="D226" s="117" t="str">
        <f t="shared" si="3"/>
        <v>1478-7001</v>
      </c>
      <c r="E226" s="24" t="s">
        <v>114</v>
      </c>
      <c r="F226" s="25"/>
      <c r="G226" s="17" t="s">
        <v>228</v>
      </c>
      <c r="H226" s="111" t="s">
        <v>54</v>
      </c>
      <c r="I226" s="111" t="s">
        <v>55</v>
      </c>
      <c r="J226" s="22" t="s">
        <v>23</v>
      </c>
      <c r="K226" s="17"/>
      <c r="L226" s="76" t="s">
        <v>61</v>
      </c>
      <c r="M226" s="17" t="s">
        <v>17</v>
      </c>
      <c r="N226" s="17" t="s">
        <v>17</v>
      </c>
      <c r="O226" s="21"/>
      <c r="P226" s="23"/>
    </row>
    <row r="227" spans="1:16">
      <c r="A227" s="48" t="s">
        <v>92</v>
      </c>
      <c r="B227" s="49" t="s">
        <v>13</v>
      </c>
      <c r="C227" s="64" t="s">
        <v>229</v>
      </c>
      <c r="D227" s="117" t="str">
        <f t="shared" si="3"/>
        <v>1478-7002</v>
      </c>
      <c r="E227" s="65" t="s">
        <v>230</v>
      </c>
      <c r="F227" s="66"/>
      <c r="G227" s="52" t="s">
        <v>231</v>
      </c>
      <c r="H227" s="111" t="s">
        <v>54</v>
      </c>
      <c r="I227" s="111" t="s">
        <v>55</v>
      </c>
      <c r="J227" s="53" t="s">
        <v>23</v>
      </c>
      <c r="K227" s="52"/>
      <c r="L227" s="84" t="s">
        <v>61</v>
      </c>
      <c r="M227" s="52" t="s">
        <v>17</v>
      </c>
      <c r="N227" s="52" t="s">
        <v>17</v>
      </c>
      <c r="O227" s="51"/>
      <c r="P227" s="34"/>
    </row>
    <row r="228" spans="1:16">
      <c r="A228" s="54"/>
      <c r="B228" s="55"/>
      <c r="C228" s="56"/>
      <c r="D228" s="117" t="str">
        <f t="shared" si="3"/>
        <v/>
      </c>
      <c r="E228" s="59"/>
      <c r="F228" s="60"/>
      <c r="G228" s="58"/>
      <c r="H228" s="33"/>
      <c r="I228" s="33"/>
      <c r="J228" s="33"/>
      <c r="K228" s="58"/>
      <c r="L228" s="88"/>
      <c r="M228" s="58"/>
      <c r="N228" s="58"/>
      <c r="O228" s="61"/>
      <c r="P228" s="34"/>
    </row>
    <row r="229" spans="1:16">
      <c r="A229" s="86" t="s">
        <v>92</v>
      </c>
      <c r="B229" s="87" t="s">
        <v>13</v>
      </c>
      <c r="C229" s="64" t="s">
        <v>195</v>
      </c>
      <c r="D229" s="117" t="str">
        <f t="shared" si="3"/>
        <v>1478-7100</v>
      </c>
      <c r="E229" s="65" t="s">
        <v>232</v>
      </c>
      <c r="F229" s="66"/>
      <c r="G229" s="52" t="s">
        <v>233</v>
      </c>
      <c r="H229" s="111" t="s">
        <v>54</v>
      </c>
      <c r="I229" s="111" t="s">
        <v>55</v>
      </c>
      <c r="J229" s="53" t="s">
        <v>23</v>
      </c>
      <c r="K229" s="52"/>
      <c r="L229" s="52"/>
      <c r="M229" s="52" t="s">
        <v>17</v>
      </c>
      <c r="N229" s="52" t="s">
        <v>17</v>
      </c>
      <c r="O229" s="51"/>
      <c r="P229" s="34"/>
    </row>
    <row r="230" spans="1:16">
      <c r="A230" s="67"/>
      <c r="B230" s="68"/>
      <c r="C230" s="56"/>
      <c r="D230" s="117" t="str">
        <f t="shared" si="3"/>
        <v/>
      </c>
      <c r="E230" s="34"/>
      <c r="F230" s="60"/>
      <c r="G230" s="58"/>
      <c r="H230" s="33"/>
      <c r="I230" s="33"/>
      <c r="J230" s="33"/>
      <c r="K230" s="58"/>
      <c r="L230" s="58"/>
      <c r="M230" s="58"/>
      <c r="N230" s="58"/>
      <c r="O230" s="61"/>
      <c r="P230" s="34"/>
    </row>
    <row r="231" spans="1:16">
      <c r="A231" s="48" t="s">
        <v>92</v>
      </c>
      <c r="B231" s="49" t="s">
        <v>13</v>
      </c>
      <c r="C231" s="64">
        <v>7110</v>
      </c>
      <c r="D231" s="117" t="str">
        <f t="shared" si="3"/>
        <v>1478-7110</v>
      </c>
      <c r="E231" s="66" t="s">
        <v>234</v>
      </c>
      <c r="F231" s="66" t="s">
        <v>234</v>
      </c>
      <c r="G231" s="52" t="s">
        <v>235</v>
      </c>
      <c r="H231" s="111" t="s">
        <v>54</v>
      </c>
      <c r="I231" s="111" t="s">
        <v>55</v>
      </c>
      <c r="J231" s="53" t="s">
        <v>23</v>
      </c>
      <c r="K231" s="52"/>
      <c r="L231" s="52"/>
      <c r="M231" s="52" t="s">
        <v>17</v>
      </c>
      <c r="N231" s="52" t="s">
        <v>17</v>
      </c>
      <c r="O231" s="51"/>
      <c r="P231" s="34"/>
    </row>
    <row r="232" spans="1:16">
      <c r="A232" s="54"/>
      <c r="B232" s="55"/>
      <c r="C232" s="56"/>
      <c r="D232" s="117" t="str">
        <f t="shared" si="3"/>
        <v/>
      </c>
      <c r="E232" s="34"/>
      <c r="F232" s="60"/>
      <c r="G232" s="58"/>
      <c r="H232" s="33"/>
      <c r="I232" s="33"/>
      <c r="J232" s="33"/>
      <c r="K232" s="58"/>
      <c r="L232" s="58"/>
      <c r="M232" s="58"/>
      <c r="N232" s="58"/>
      <c r="O232" s="61"/>
      <c r="P232" s="34"/>
    </row>
    <row r="233" spans="1:16">
      <c r="A233" s="35"/>
      <c r="B233" s="36"/>
      <c r="C233" s="37"/>
      <c r="D233" s="117" t="str">
        <f t="shared" si="3"/>
        <v/>
      </c>
      <c r="E233" s="38"/>
      <c r="F233" s="43"/>
      <c r="G233" s="41"/>
      <c r="H233" s="40"/>
      <c r="I233" s="40"/>
      <c r="J233" s="40"/>
      <c r="K233" s="41"/>
      <c r="L233" s="41"/>
      <c r="M233" s="41"/>
      <c r="N233" s="41"/>
      <c r="O233" s="44"/>
      <c r="P233" s="34"/>
    </row>
    <row r="234" spans="1:16">
      <c r="A234" s="48" t="s">
        <v>92</v>
      </c>
      <c r="B234" s="49" t="s">
        <v>13</v>
      </c>
      <c r="C234" s="64">
        <v>7120</v>
      </c>
      <c r="D234" s="117" t="str">
        <f t="shared" si="3"/>
        <v>1478-7120</v>
      </c>
      <c r="E234" s="66" t="s">
        <v>236</v>
      </c>
      <c r="F234" s="66" t="s">
        <v>236</v>
      </c>
      <c r="G234" s="52" t="s">
        <v>237</v>
      </c>
      <c r="H234" s="111" t="s">
        <v>54</v>
      </c>
      <c r="I234" s="111" t="s">
        <v>55</v>
      </c>
      <c r="J234" s="53" t="s">
        <v>23</v>
      </c>
      <c r="K234" s="52"/>
      <c r="L234" s="52"/>
      <c r="M234" s="52" t="s">
        <v>17</v>
      </c>
      <c r="N234" s="52" t="s">
        <v>17</v>
      </c>
      <c r="O234" s="51"/>
      <c r="P234" s="34"/>
    </row>
    <row r="235" spans="1:16">
      <c r="A235" s="54"/>
      <c r="B235" s="55"/>
      <c r="C235" s="56"/>
      <c r="D235" s="117" t="str">
        <f t="shared" si="3"/>
        <v/>
      </c>
      <c r="E235" s="34"/>
      <c r="F235" s="60"/>
      <c r="G235" s="58"/>
      <c r="H235" s="33"/>
      <c r="I235" s="33"/>
      <c r="J235" s="33"/>
      <c r="K235" s="58"/>
      <c r="L235" s="58"/>
      <c r="M235" s="58"/>
      <c r="N235" s="58"/>
      <c r="O235" s="61"/>
      <c r="P235" s="34"/>
    </row>
    <row r="236" spans="1:16">
      <c r="A236" s="18" t="s">
        <v>92</v>
      </c>
      <c r="B236" s="19" t="s">
        <v>13</v>
      </c>
      <c r="C236" s="26">
        <v>7130</v>
      </c>
      <c r="D236" s="117" t="str">
        <f t="shared" si="3"/>
        <v>1478-7130</v>
      </c>
      <c r="E236" s="25" t="s">
        <v>238</v>
      </c>
      <c r="F236" s="25" t="s">
        <v>238</v>
      </c>
      <c r="G236" s="17" t="s">
        <v>239</v>
      </c>
      <c r="H236" s="111" t="s">
        <v>54</v>
      </c>
      <c r="I236" s="111" t="s">
        <v>55</v>
      </c>
      <c r="J236" s="22" t="s">
        <v>23</v>
      </c>
      <c r="K236" s="17"/>
      <c r="L236" s="17"/>
      <c r="M236" s="17" t="s">
        <v>17</v>
      </c>
      <c r="N236" s="17" t="s">
        <v>17</v>
      </c>
      <c r="O236" s="21"/>
      <c r="P236" s="23"/>
    </row>
    <row r="237" spans="1:16">
      <c r="A237" s="18" t="s">
        <v>92</v>
      </c>
      <c r="B237" s="19" t="s">
        <v>13</v>
      </c>
      <c r="C237" s="26">
        <v>7140</v>
      </c>
      <c r="D237" s="117" t="str">
        <f t="shared" si="3"/>
        <v>1478-7140</v>
      </c>
      <c r="E237" s="25" t="s">
        <v>240</v>
      </c>
      <c r="F237" s="25" t="s">
        <v>240</v>
      </c>
      <c r="G237" s="17" t="s">
        <v>241</v>
      </c>
      <c r="H237" s="111" t="s">
        <v>54</v>
      </c>
      <c r="I237" s="111" t="s">
        <v>55</v>
      </c>
      <c r="J237" s="22" t="s">
        <v>23</v>
      </c>
      <c r="K237" s="17"/>
      <c r="L237" s="17"/>
      <c r="M237" s="17" t="s">
        <v>17</v>
      </c>
      <c r="N237" s="17" t="s">
        <v>17</v>
      </c>
      <c r="O237" s="21"/>
      <c r="P237" s="23"/>
    </row>
    <row r="238" spans="1:16">
      <c r="A238" s="18" t="s">
        <v>92</v>
      </c>
      <c r="B238" s="19" t="s">
        <v>13</v>
      </c>
      <c r="C238" s="26" t="s">
        <v>242</v>
      </c>
      <c r="D238" s="117" t="str">
        <f t="shared" si="3"/>
        <v>1478-7199</v>
      </c>
      <c r="E238" s="24" t="s">
        <v>243</v>
      </c>
      <c r="F238" s="25"/>
      <c r="G238" s="17"/>
      <c r="H238" s="22"/>
      <c r="I238" s="22"/>
      <c r="J238" s="22" t="s">
        <v>23</v>
      </c>
      <c r="K238" s="17"/>
      <c r="L238" s="17"/>
      <c r="M238" s="17"/>
      <c r="N238" s="17" t="s">
        <v>17</v>
      </c>
      <c r="O238" s="21"/>
      <c r="P238" s="23"/>
    </row>
    <row r="239" spans="1:16">
      <c r="A239" s="86" t="s">
        <v>92</v>
      </c>
      <c r="B239" s="87" t="s">
        <v>13</v>
      </c>
      <c r="C239" s="64" t="s">
        <v>198</v>
      </c>
      <c r="D239" s="117" t="str">
        <f t="shared" si="3"/>
        <v>1478-7200</v>
      </c>
      <c r="E239" s="65" t="s">
        <v>244</v>
      </c>
      <c r="F239" s="66"/>
      <c r="G239" s="52" t="s">
        <v>245</v>
      </c>
      <c r="H239" s="111" t="s">
        <v>54</v>
      </c>
      <c r="I239" s="111" t="s">
        <v>55</v>
      </c>
      <c r="J239" s="53" t="s">
        <v>23</v>
      </c>
      <c r="K239" s="52"/>
      <c r="L239" s="52"/>
      <c r="M239" s="52" t="s">
        <v>17</v>
      </c>
      <c r="N239" s="52" t="s">
        <v>17</v>
      </c>
      <c r="O239" s="51"/>
      <c r="P239" s="23"/>
    </row>
    <row r="240" spans="1:16">
      <c r="A240" s="67"/>
      <c r="B240" s="68"/>
      <c r="C240" s="56"/>
      <c r="D240" s="117" t="str">
        <f t="shared" si="3"/>
        <v/>
      </c>
      <c r="E240" s="34"/>
      <c r="F240" s="60"/>
      <c r="G240" s="58"/>
      <c r="H240" s="33"/>
      <c r="I240" s="33"/>
      <c r="J240" s="33"/>
      <c r="K240" s="58"/>
      <c r="L240" s="58"/>
      <c r="M240" s="58"/>
      <c r="N240" s="58"/>
      <c r="O240" s="61"/>
      <c r="P240" s="23"/>
    </row>
    <row r="241" spans="1:16">
      <c r="A241" s="18" t="s">
        <v>92</v>
      </c>
      <c r="B241" s="19" t="s">
        <v>13</v>
      </c>
      <c r="C241" s="26">
        <v>7210</v>
      </c>
      <c r="D241" s="117" t="str">
        <f t="shared" si="3"/>
        <v>1478-7210</v>
      </c>
      <c r="E241" s="25" t="s">
        <v>194</v>
      </c>
      <c r="F241" s="25" t="s">
        <v>194</v>
      </c>
      <c r="G241" s="17" t="s">
        <v>246</v>
      </c>
      <c r="H241" s="111" t="s">
        <v>54</v>
      </c>
      <c r="I241" s="111" t="s">
        <v>55</v>
      </c>
      <c r="J241" s="22" t="s">
        <v>23</v>
      </c>
      <c r="K241" s="17"/>
      <c r="L241" s="17"/>
      <c r="M241" s="17" t="s">
        <v>17</v>
      </c>
      <c r="N241" s="17" t="s">
        <v>17</v>
      </c>
      <c r="O241" s="21"/>
      <c r="P241" s="23"/>
    </row>
    <row r="242" spans="1:16">
      <c r="A242" s="18" t="s">
        <v>92</v>
      </c>
      <c r="B242" s="19" t="s">
        <v>13</v>
      </c>
      <c r="C242" s="26">
        <v>7220</v>
      </c>
      <c r="D242" s="117" t="str">
        <f t="shared" si="3"/>
        <v>1478-7220</v>
      </c>
      <c r="E242" s="25" t="s">
        <v>247</v>
      </c>
      <c r="F242" s="25" t="s">
        <v>247</v>
      </c>
      <c r="G242" s="17" t="s">
        <v>248</v>
      </c>
      <c r="H242" s="111" t="s">
        <v>54</v>
      </c>
      <c r="I242" s="111" t="s">
        <v>55</v>
      </c>
      <c r="J242" s="22" t="s">
        <v>23</v>
      </c>
      <c r="K242" s="17"/>
      <c r="L242" s="17"/>
      <c r="M242" s="17" t="s">
        <v>17</v>
      </c>
      <c r="N242" s="17" t="s">
        <v>17</v>
      </c>
      <c r="O242" s="21"/>
      <c r="P242" s="23"/>
    </row>
    <row r="243" spans="1:16">
      <c r="A243" s="18" t="s">
        <v>92</v>
      </c>
      <c r="B243" s="19" t="s">
        <v>13</v>
      </c>
      <c r="C243" s="26">
        <v>7230</v>
      </c>
      <c r="D243" s="117" t="str">
        <f t="shared" si="3"/>
        <v>1478-7230</v>
      </c>
      <c r="E243" s="25" t="s">
        <v>249</v>
      </c>
      <c r="F243" s="25" t="s">
        <v>249</v>
      </c>
      <c r="G243" s="17" t="s">
        <v>250</v>
      </c>
      <c r="H243" s="111" t="s">
        <v>54</v>
      </c>
      <c r="I243" s="111" t="s">
        <v>55</v>
      </c>
      <c r="J243" s="22" t="s">
        <v>23</v>
      </c>
      <c r="K243" s="17"/>
      <c r="L243" s="17"/>
      <c r="M243" s="17" t="s">
        <v>17</v>
      </c>
      <c r="N243" s="17" t="s">
        <v>17</v>
      </c>
      <c r="O243" s="21"/>
      <c r="P243" s="23"/>
    </row>
    <row r="244" spans="1:16">
      <c r="A244" s="18" t="s">
        <v>92</v>
      </c>
      <c r="B244" s="19" t="s">
        <v>13</v>
      </c>
      <c r="C244" s="26">
        <v>7240</v>
      </c>
      <c r="D244" s="117" t="str">
        <f t="shared" si="3"/>
        <v>1478-7240</v>
      </c>
      <c r="E244" s="25" t="s">
        <v>251</v>
      </c>
      <c r="F244" s="25" t="s">
        <v>251</v>
      </c>
      <c r="G244" s="17" t="s">
        <v>252</v>
      </c>
      <c r="H244" s="111" t="s">
        <v>54</v>
      </c>
      <c r="I244" s="111" t="s">
        <v>55</v>
      </c>
      <c r="J244" s="22" t="s">
        <v>23</v>
      </c>
      <c r="K244" s="17"/>
      <c r="L244" s="17"/>
      <c r="M244" s="17" t="s">
        <v>17</v>
      </c>
      <c r="N244" s="17" t="s">
        <v>17</v>
      </c>
      <c r="O244" s="21"/>
      <c r="P244" s="23"/>
    </row>
    <row r="245" spans="1:16">
      <c r="A245" s="18" t="s">
        <v>92</v>
      </c>
      <c r="B245" s="19" t="s">
        <v>13</v>
      </c>
      <c r="C245" s="26" t="s">
        <v>253</v>
      </c>
      <c r="D245" s="117" t="str">
        <f t="shared" si="3"/>
        <v>1478-7299</v>
      </c>
      <c r="E245" s="24" t="s">
        <v>254</v>
      </c>
      <c r="F245" s="25"/>
      <c r="G245" s="17"/>
      <c r="H245" s="22"/>
      <c r="I245" s="22"/>
      <c r="J245" s="22" t="s">
        <v>23</v>
      </c>
      <c r="K245" s="17"/>
      <c r="L245" s="17"/>
      <c r="M245" s="17"/>
      <c r="N245" s="17" t="s">
        <v>17</v>
      </c>
      <c r="O245" s="21"/>
      <c r="P245" s="23"/>
    </row>
    <row r="246" spans="1:16">
      <c r="A246" s="18" t="s">
        <v>92</v>
      </c>
      <c r="B246" s="19" t="s">
        <v>13</v>
      </c>
      <c r="C246" s="26" t="s">
        <v>158</v>
      </c>
      <c r="D246" s="117" t="str">
        <f t="shared" si="3"/>
        <v>1478-7300</v>
      </c>
      <c r="E246" s="24" t="s">
        <v>255</v>
      </c>
      <c r="F246" s="25"/>
      <c r="G246" s="17" t="s">
        <v>256</v>
      </c>
      <c r="H246" s="111" t="s">
        <v>54</v>
      </c>
      <c r="I246" s="111" t="s">
        <v>55</v>
      </c>
      <c r="J246" s="22" t="s">
        <v>23</v>
      </c>
      <c r="K246" s="17"/>
      <c r="L246" s="17"/>
      <c r="M246" s="17"/>
      <c r="N246" s="17" t="s">
        <v>17</v>
      </c>
      <c r="O246" s="21"/>
      <c r="P246" s="23"/>
    </row>
    <row r="247" spans="1:16">
      <c r="A247" s="18" t="s">
        <v>92</v>
      </c>
      <c r="B247" s="19" t="s">
        <v>13</v>
      </c>
      <c r="C247" s="26">
        <v>7310</v>
      </c>
      <c r="D247" s="117" t="str">
        <f t="shared" si="3"/>
        <v>1478-7310</v>
      </c>
      <c r="E247" s="25" t="s">
        <v>257</v>
      </c>
      <c r="F247" s="25" t="s">
        <v>257</v>
      </c>
      <c r="G247" s="17" t="s">
        <v>258</v>
      </c>
      <c r="H247" s="111" t="s">
        <v>54</v>
      </c>
      <c r="I247" s="111" t="s">
        <v>55</v>
      </c>
      <c r="J247" s="22" t="s">
        <v>23</v>
      </c>
      <c r="K247" s="17"/>
      <c r="L247" s="17"/>
      <c r="M247" s="17"/>
      <c r="N247" s="17" t="s">
        <v>17</v>
      </c>
      <c r="O247" s="21"/>
      <c r="P247" s="23"/>
    </row>
    <row r="248" spans="1:16">
      <c r="A248" s="18" t="s">
        <v>92</v>
      </c>
      <c r="B248" s="19" t="s">
        <v>13</v>
      </c>
      <c r="C248" s="26">
        <v>7320</v>
      </c>
      <c r="D248" s="117" t="str">
        <f t="shared" si="3"/>
        <v>1478-7320</v>
      </c>
      <c r="E248" s="25" t="s">
        <v>259</v>
      </c>
      <c r="F248" s="25" t="s">
        <v>259</v>
      </c>
      <c r="G248" s="17" t="s">
        <v>260</v>
      </c>
      <c r="H248" s="111" t="s">
        <v>54</v>
      </c>
      <c r="I248" s="111" t="s">
        <v>55</v>
      </c>
      <c r="J248" s="22" t="s">
        <v>23</v>
      </c>
      <c r="K248" s="17"/>
      <c r="L248" s="17"/>
      <c r="M248" s="17"/>
      <c r="N248" s="17" t="s">
        <v>17</v>
      </c>
      <c r="O248" s="21"/>
      <c r="P248" s="23"/>
    </row>
    <row r="249" spans="1:16">
      <c r="A249" s="18" t="s">
        <v>92</v>
      </c>
      <c r="B249" s="19" t="s">
        <v>13</v>
      </c>
      <c r="C249" s="26">
        <v>7330</v>
      </c>
      <c r="D249" s="117" t="str">
        <f t="shared" si="3"/>
        <v>1478-7330</v>
      </c>
      <c r="E249" s="25" t="s">
        <v>261</v>
      </c>
      <c r="F249" s="25" t="s">
        <v>261</v>
      </c>
      <c r="G249" s="17" t="s">
        <v>262</v>
      </c>
      <c r="H249" s="111" t="s">
        <v>54</v>
      </c>
      <c r="I249" s="111" t="s">
        <v>55</v>
      </c>
      <c r="J249" s="22" t="s">
        <v>23</v>
      </c>
      <c r="K249" s="17"/>
      <c r="L249" s="17"/>
      <c r="M249" s="17"/>
      <c r="N249" s="17" t="s">
        <v>17</v>
      </c>
      <c r="O249" s="21"/>
      <c r="P249" s="23"/>
    </row>
    <row r="250" spans="1:16">
      <c r="A250" s="18" t="s">
        <v>92</v>
      </c>
      <c r="B250" s="19" t="s">
        <v>13</v>
      </c>
      <c r="C250" s="26">
        <v>7340</v>
      </c>
      <c r="D250" s="117" t="str">
        <f t="shared" si="3"/>
        <v>1478-7340</v>
      </c>
      <c r="E250" s="25" t="s">
        <v>263</v>
      </c>
      <c r="F250" s="25" t="s">
        <v>263</v>
      </c>
      <c r="G250" s="17" t="s">
        <v>264</v>
      </c>
      <c r="H250" s="111" t="s">
        <v>54</v>
      </c>
      <c r="I250" s="111" t="s">
        <v>55</v>
      </c>
      <c r="J250" s="22" t="s">
        <v>23</v>
      </c>
      <c r="K250" s="17"/>
      <c r="L250" s="17"/>
      <c r="M250" s="17"/>
      <c r="N250" s="17" t="s">
        <v>17</v>
      </c>
      <c r="O250" s="21"/>
      <c r="P250" s="23"/>
    </row>
    <row r="251" spans="1:16">
      <c r="A251" s="18" t="s">
        <v>92</v>
      </c>
      <c r="B251" s="19" t="s">
        <v>13</v>
      </c>
      <c r="C251" s="26">
        <v>7350</v>
      </c>
      <c r="D251" s="117" t="str">
        <f t="shared" si="3"/>
        <v>1478-7350</v>
      </c>
      <c r="E251" s="25" t="s">
        <v>265</v>
      </c>
      <c r="F251" s="25" t="s">
        <v>265</v>
      </c>
      <c r="G251" s="17" t="s">
        <v>266</v>
      </c>
      <c r="H251" s="111" t="s">
        <v>54</v>
      </c>
      <c r="I251" s="111" t="s">
        <v>55</v>
      </c>
      <c r="J251" s="22" t="s">
        <v>23</v>
      </c>
      <c r="K251" s="17"/>
      <c r="L251" s="17"/>
      <c r="M251" s="17"/>
      <c r="N251" s="17" t="s">
        <v>17</v>
      </c>
      <c r="O251" s="21"/>
      <c r="P251" s="23"/>
    </row>
    <row r="252" spans="1:16">
      <c r="A252" s="18" t="s">
        <v>92</v>
      </c>
      <c r="B252" s="19" t="s">
        <v>13</v>
      </c>
      <c r="C252" s="26">
        <v>7360</v>
      </c>
      <c r="D252" s="117" t="str">
        <f t="shared" si="3"/>
        <v>1478-7360</v>
      </c>
      <c r="E252" s="25" t="s">
        <v>267</v>
      </c>
      <c r="F252" s="25" t="s">
        <v>267</v>
      </c>
      <c r="G252" s="17" t="s">
        <v>268</v>
      </c>
      <c r="H252" s="111" t="s">
        <v>54</v>
      </c>
      <c r="I252" s="111" t="s">
        <v>55</v>
      </c>
      <c r="J252" s="22" t="s">
        <v>23</v>
      </c>
      <c r="K252" s="17"/>
      <c r="L252" s="17"/>
      <c r="M252" s="17"/>
      <c r="N252" s="17" t="s">
        <v>17</v>
      </c>
      <c r="O252" s="21"/>
      <c r="P252" s="23"/>
    </row>
    <row r="253" spans="1:16">
      <c r="A253" s="18" t="s">
        <v>92</v>
      </c>
      <c r="B253" s="19" t="s">
        <v>13</v>
      </c>
      <c r="C253" s="26">
        <v>7370</v>
      </c>
      <c r="D253" s="117" t="str">
        <f t="shared" si="3"/>
        <v>1478-7370</v>
      </c>
      <c r="E253" s="25" t="s">
        <v>269</v>
      </c>
      <c r="F253" s="25" t="s">
        <v>269</v>
      </c>
      <c r="G253" s="17" t="s">
        <v>270</v>
      </c>
      <c r="H253" s="111" t="s">
        <v>54</v>
      </c>
      <c r="I253" s="111" t="s">
        <v>55</v>
      </c>
      <c r="J253" s="22" t="s">
        <v>23</v>
      </c>
      <c r="K253" s="17"/>
      <c r="L253" s="17"/>
      <c r="M253" s="17"/>
      <c r="N253" s="17" t="s">
        <v>17</v>
      </c>
      <c r="O253" s="21"/>
      <c r="P253" s="23"/>
    </row>
    <row r="254" spans="1:16">
      <c r="A254" s="18" t="s">
        <v>92</v>
      </c>
      <c r="B254" s="19" t="s">
        <v>13</v>
      </c>
      <c r="C254" s="26">
        <v>7380</v>
      </c>
      <c r="D254" s="117" t="str">
        <f t="shared" si="3"/>
        <v>1478-7380</v>
      </c>
      <c r="E254" s="25" t="s">
        <v>271</v>
      </c>
      <c r="F254" s="25" t="s">
        <v>271</v>
      </c>
      <c r="G254" s="17" t="s">
        <v>272</v>
      </c>
      <c r="H254" s="111" t="s">
        <v>54</v>
      </c>
      <c r="I254" s="111" t="s">
        <v>55</v>
      </c>
      <c r="J254" s="22" t="s">
        <v>23</v>
      </c>
      <c r="K254" s="17"/>
      <c r="L254" s="17"/>
      <c r="M254" s="17"/>
      <c r="N254" s="17" t="s">
        <v>17</v>
      </c>
      <c r="O254" s="21"/>
      <c r="P254" s="23"/>
    </row>
    <row r="255" spans="1:16">
      <c r="A255" s="18" t="s">
        <v>92</v>
      </c>
      <c r="B255" s="19" t="s">
        <v>13</v>
      </c>
      <c r="C255" s="26">
        <v>7390</v>
      </c>
      <c r="D255" s="117" t="str">
        <f t="shared" si="3"/>
        <v>1478-7390</v>
      </c>
      <c r="E255" s="25" t="s">
        <v>273</v>
      </c>
      <c r="F255" s="25" t="s">
        <v>273</v>
      </c>
      <c r="G255" s="17" t="s">
        <v>274</v>
      </c>
      <c r="H255" s="111" t="s">
        <v>54</v>
      </c>
      <c r="I255" s="111" t="s">
        <v>55</v>
      </c>
      <c r="J255" s="22" t="s">
        <v>23</v>
      </c>
      <c r="K255" s="17"/>
      <c r="L255" s="17"/>
      <c r="M255" s="17"/>
      <c r="N255" s="17" t="s">
        <v>17</v>
      </c>
      <c r="O255" s="21"/>
      <c r="P255" s="23"/>
    </row>
    <row r="256" spans="1:16">
      <c r="A256" s="18" t="s">
        <v>92</v>
      </c>
      <c r="B256" s="19" t="s">
        <v>13</v>
      </c>
      <c r="C256" s="26">
        <v>7399</v>
      </c>
      <c r="D256" s="117" t="str">
        <f t="shared" si="3"/>
        <v>1478-7399</v>
      </c>
      <c r="E256" s="25" t="s">
        <v>275</v>
      </c>
      <c r="F256" s="25" t="s">
        <v>275</v>
      </c>
      <c r="G256" s="17"/>
      <c r="H256" s="17" t="s">
        <v>166</v>
      </c>
      <c r="I256" s="17" t="s">
        <v>55</v>
      </c>
      <c r="J256" s="22" t="s">
        <v>23</v>
      </c>
      <c r="K256" s="17"/>
      <c r="L256" s="17"/>
      <c r="M256" s="17"/>
      <c r="N256" s="17" t="s">
        <v>17</v>
      </c>
      <c r="O256" s="21"/>
      <c r="P256" s="23"/>
    </row>
    <row r="257" spans="1:16">
      <c r="A257" s="18" t="s">
        <v>92</v>
      </c>
      <c r="B257" s="19" t="s">
        <v>13</v>
      </c>
      <c r="C257" s="26" t="s">
        <v>276</v>
      </c>
      <c r="D257" s="117" t="str">
        <f t="shared" si="3"/>
        <v>1478-7400</v>
      </c>
      <c r="E257" s="24" t="s">
        <v>277</v>
      </c>
      <c r="F257" s="25"/>
      <c r="G257" s="17" t="s">
        <v>278</v>
      </c>
      <c r="H257" s="111" t="s">
        <v>54</v>
      </c>
      <c r="I257" s="111" t="s">
        <v>55</v>
      </c>
      <c r="J257" s="22" t="s">
        <v>23</v>
      </c>
      <c r="K257" s="17"/>
      <c r="L257" s="17"/>
      <c r="M257" s="17"/>
      <c r="N257" s="17" t="s">
        <v>17</v>
      </c>
      <c r="O257" s="21"/>
      <c r="P257" s="23"/>
    </row>
    <row r="258" spans="1:16">
      <c r="A258" s="18" t="s">
        <v>92</v>
      </c>
      <c r="B258" s="19" t="s">
        <v>13</v>
      </c>
      <c r="C258" s="26">
        <v>7410</v>
      </c>
      <c r="D258" s="117" t="str">
        <f t="shared" si="3"/>
        <v>1478-7410</v>
      </c>
      <c r="E258" s="25" t="s">
        <v>279</v>
      </c>
      <c r="F258" s="25" t="s">
        <v>279</v>
      </c>
      <c r="G258" s="17" t="s">
        <v>280</v>
      </c>
      <c r="H258" s="111" t="s">
        <v>54</v>
      </c>
      <c r="I258" s="111" t="s">
        <v>55</v>
      </c>
      <c r="J258" s="22" t="s">
        <v>23</v>
      </c>
      <c r="K258" s="17"/>
      <c r="L258" s="17"/>
      <c r="M258" s="17"/>
      <c r="N258" s="17" t="s">
        <v>17</v>
      </c>
      <c r="O258" s="21"/>
      <c r="P258" s="23"/>
    </row>
    <row r="259" spans="1:16">
      <c r="A259" s="18" t="s">
        <v>92</v>
      </c>
      <c r="B259" s="19" t="s">
        <v>13</v>
      </c>
      <c r="C259" s="26">
        <v>7411</v>
      </c>
      <c r="D259" s="117" t="str">
        <f t="shared" si="3"/>
        <v>1478-7411</v>
      </c>
      <c r="E259" s="25" t="s">
        <v>281</v>
      </c>
      <c r="F259" s="25" t="s">
        <v>281</v>
      </c>
      <c r="G259" s="17" t="s">
        <v>282</v>
      </c>
      <c r="H259" s="111" t="s">
        <v>54</v>
      </c>
      <c r="I259" s="111" t="s">
        <v>55</v>
      </c>
      <c r="J259" s="22" t="s">
        <v>23</v>
      </c>
      <c r="K259" s="17"/>
      <c r="L259" s="17"/>
      <c r="M259" s="17"/>
      <c r="N259" s="17" t="s">
        <v>17</v>
      </c>
      <c r="O259" s="21"/>
      <c r="P259" s="23"/>
    </row>
    <row r="260" spans="1:16">
      <c r="A260" s="18" t="s">
        <v>92</v>
      </c>
      <c r="B260" s="19" t="s">
        <v>13</v>
      </c>
      <c r="C260" s="26">
        <v>7412</v>
      </c>
      <c r="D260" s="117" t="str">
        <f t="shared" ref="D260:D312" si="4">_xlfn.CONCAT(A260,B260,C260)</f>
        <v>1478-7412</v>
      </c>
      <c r="E260" s="25" t="s">
        <v>283</v>
      </c>
      <c r="F260" s="25" t="s">
        <v>283</v>
      </c>
      <c r="G260" s="17" t="s">
        <v>284</v>
      </c>
      <c r="H260" s="111" t="s">
        <v>54</v>
      </c>
      <c r="I260" s="111" t="s">
        <v>55</v>
      </c>
      <c r="J260" s="22" t="s">
        <v>23</v>
      </c>
      <c r="K260" s="17"/>
      <c r="L260" s="17"/>
      <c r="M260" s="17"/>
      <c r="N260" s="17" t="s">
        <v>17</v>
      </c>
      <c r="O260" s="21"/>
      <c r="P260" s="23"/>
    </row>
    <row r="261" spans="1:16">
      <c r="A261" s="18" t="s">
        <v>92</v>
      </c>
      <c r="B261" s="19" t="s">
        <v>13</v>
      </c>
      <c r="C261" s="26">
        <v>7413</v>
      </c>
      <c r="D261" s="117" t="str">
        <f t="shared" si="4"/>
        <v>1478-7413</v>
      </c>
      <c r="E261" s="25" t="s">
        <v>285</v>
      </c>
      <c r="F261" s="25" t="s">
        <v>285</v>
      </c>
      <c r="G261" s="17" t="s">
        <v>286</v>
      </c>
      <c r="H261" s="111" t="s">
        <v>54</v>
      </c>
      <c r="I261" s="111" t="s">
        <v>55</v>
      </c>
      <c r="J261" s="22" t="s">
        <v>23</v>
      </c>
      <c r="K261" s="17"/>
      <c r="L261" s="17"/>
      <c r="M261" s="17"/>
      <c r="N261" s="17" t="s">
        <v>17</v>
      </c>
      <c r="O261" s="21"/>
      <c r="P261" s="23"/>
    </row>
    <row r="262" spans="1:16">
      <c r="A262" s="18" t="s">
        <v>92</v>
      </c>
      <c r="B262" s="19" t="s">
        <v>13</v>
      </c>
      <c r="C262" s="26">
        <v>7414</v>
      </c>
      <c r="D262" s="117" t="str">
        <f t="shared" si="4"/>
        <v>1478-7414</v>
      </c>
      <c r="E262" s="25" t="s">
        <v>287</v>
      </c>
      <c r="F262" s="25" t="s">
        <v>287</v>
      </c>
      <c r="G262" s="17" t="s">
        <v>288</v>
      </c>
      <c r="H262" s="111" t="s">
        <v>54</v>
      </c>
      <c r="I262" s="111" t="s">
        <v>55</v>
      </c>
      <c r="J262" s="22" t="s">
        <v>23</v>
      </c>
      <c r="K262" s="17"/>
      <c r="L262" s="17"/>
      <c r="M262" s="17"/>
      <c r="N262" s="17" t="s">
        <v>17</v>
      </c>
      <c r="O262" s="21"/>
      <c r="P262" s="23"/>
    </row>
    <row r="263" spans="1:16">
      <c r="A263" s="18" t="s">
        <v>92</v>
      </c>
      <c r="B263" s="19" t="s">
        <v>13</v>
      </c>
      <c r="C263" s="26">
        <v>7415</v>
      </c>
      <c r="D263" s="117" t="str">
        <f t="shared" si="4"/>
        <v>1478-7415</v>
      </c>
      <c r="E263" s="25" t="s">
        <v>289</v>
      </c>
      <c r="F263" s="25" t="s">
        <v>289</v>
      </c>
      <c r="G263" s="17" t="s">
        <v>290</v>
      </c>
      <c r="H263" s="111" t="s">
        <v>54</v>
      </c>
      <c r="I263" s="111" t="s">
        <v>55</v>
      </c>
      <c r="J263" s="22" t="s">
        <v>23</v>
      </c>
      <c r="K263" s="17"/>
      <c r="L263" s="17"/>
      <c r="M263" s="17"/>
      <c r="N263" s="17" t="s">
        <v>17</v>
      </c>
      <c r="O263" s="21"/>
      <c r="P263" s="23"/>
    </row>
    <row r="264" spans="1:16">
      <c r="A264" s="18" t="s">
        <v>92</v>
      </c>
      <c r="B264" s="19" t="s">
        <v>13</v>
      </c>
      <c r="C264" s="26">
        <v>7416</v>
      </c>
      <c r="D264" s="117" t="str">
        <f t="shared" si="4"/>
        <v>1478-7416</v>
      </c>
      <c r="E264" s="25" t="s">
        <v>291</v>
      </c>
      <c r="F264" s="25" t="s">
        <v>291</v>
      </c>
      <c r="G264" s="17" t="s">
        <v>292</v>
      </c>
      <c r="H264" s="111" t="s">
        <v>54</v>
      </c>
      <c r="I264" s="111" t="s">
        <v>55</v>
      </c>
      <c r="J264" s="22" t="s">
        <v>23</v>
      </c>
      <c r="K264" s="17"/>
      <c r="L264" s="17"/>
      <c r="M264" s="17"/>
      <c r="N264" s="17" t="s">
        <v>17</v>
      </c>
      <c r="O264" s="21"/>
      <c r="P264" s="23"/>
    </row>
    <row r="265" spans="1:16">
      <c r="A265" s="18" t="s">
        <v>92</v>
      </c>
      <c r="B265" s="19" t="s">
        <v>13</v>
      </c>
      <c r="C265" s="26">
        <v>7417</v>
      </c>
      <c r="D265" s="117" t="str">
        <f t="shared" si="4"/>
        <v>1478-7417</v>
      </c>
      <c r="E265" s="25" t="s">
        <v>293</v>
      </c>
      <c r="F265" s="25" t="s">
        <v>293</v>
      </c>
      <c r="G265" s="17" t="s">
        <v>294</v>
      </c>
      <c r="H265" s="111" t="s">
        <v>54</v>
      </c>
      <c r="I265" s="111" t="s">
        <v>55</v>
      </c>
      <c r="J265" s="22" t="s">
        <v>23</v>
      </c>
      <c r="K265" s="17"/>
      <c r="L265" s="17"/>
      <c r="M265" s="17"/>
      <c r="N265" s="17" t="s">
        <v>17</v>
      </c>
      <c r="O265" s="21"/>
      <c r="P265" s="23"/>
    </row>
    <row r="266" spans="1:16">
      <c r="A266" s="18" t="s">
        <v>92</v>
      </c>
      <c r="B266" s="19" t="s">
        <v>13</v>
      </c>
      <c r="C266" s="26">
        <v>7420</v>
      </c>
      <c r="D266" s="117" t="str">
        <f t="shared" si="4"/>
        <v>1478-7420</v>
      </c>
      <c r="E266" s="25" t="s">
        <v>295</v>
      </c>
      <c r="F266" s="25" t="s">
        <v>295</v>
      </c>
      <c r="G266" s="17" t="s">
        <v>296</v>
      </c>
      <c r="H266" s="111" t="s">
        <v>54</v>
      </c>
      <c r="I266" s="111" t="s">
        <v>55</v>
      </c>
      <c r="J266" s="22" t="s">
        <v>23</v>
      </c>
      <c r="K266" s="17"/>
      <c r="L266" s="17"/>
      <c r="M266" s="17"/>
      <c r="N266" s="17" t="s">
        <v>17</v>
      </c>
      <c r="O266" s="21"/>
      <c r="P266" s="23"/>
    </row>
    <row r="267" spans="1:16">
      <c r="A267" s="18" t="s">
        <v>92</v>
      </c>
      <c r="B267" s="19" t="s">
        <v>13</v>
      </c>
      <c r="C267" s="26">
        <v>7430</v>
      </c>
      <c r="D267" s="117" t="str">
        <f t="shared" si="4"/>
        <v>1478-7430</v>
      </c>
      <c r="E267" s="25" t="s">
        <v>297</v>
      </c>
      <c r="F267" s="25" t="s">
        <v>297</v>
      </c>
      <c r="G267" s="17" t="s">
        <v>298</v>
      </c>
      <c r="H267" s="111" t="s">
        <v>54</v>
      </c>
      <c r="I267" s="111" t="s">
        <v>55</v>
      </c>
      <c r="J267" s="22" t="s">
        <v>23</v>
      </c>
      <c r="K267" s="17"/>
      <c r="L267" s="17"/>
      <c r="M267" s="17"/>
      <c r="N267" s="17" t="s">
        <v>17</v>
      </c>
      <c r="O267" s="21"/>
      <c r="P267" s="23"/>
    </row>
    <row r="268" spans="1:16">
      <c r="A268" s="18" t="s">
        <v>92</v>
      </c>
      <c r="B268" s="19" t="s">
        <v>13</v>
      </c>
      <c r="C268" s="26" t="s">
        <v>299</v>
      </c>
      <c r="D268" s="117" t="str">
        <f t="shared" si="4"/>
        <v>1478-7499</v>
      </c>
      <c r="E268" s="25" t="s">
        <v>300</v>
      </c>
      <c r="F268" s="25" t="s">
        <v>300</v>
      </c>
      <c r="G268" s="17"/>
      <c r="H268" s="17" t="s">
        <v>166</v>
      </c>
      <c r="I268" s="17" t="s">
        <v>55</v>
      </c>
      <c r="J268" s="22" t="s">
        <v>23</v>
      </c>
      <c r="K268" s="17"/>
      <c r="L268" s="17"/>
      <c r="M268" s="17"/>
      <c r="N268" s="17" t="s">
        <v>17</v>
      </c>
      <c r="O268" s="21"/>
      <c r="P268" s="23"/>
    </row>
    <row r="269" spans="1:16">
      <c r="A269" s="30" t="s">
        <v>92</v>
      </c>
      <c r="B269" s="31" t="s">
        <v>13</v>
      </c>
      <c r="C269" s="26" t="s">
        <v>301</v>
      </c>
      <c r="D269" s="117" t="str">
        <f t="shared" si="4"/>
        <v>1478-7500</v>
      </c>
      <c r="E269" s="24" t="s">
        <v>302</v>
      </c>
      <c r="F269" s="25"/>
      <c r="G269" s="17" t="s">
        <v>303</v>
      </c>
      <c r="H269" s="111" t="s">
        <v>54</v>
      </c>
      <c r="I269" s="111" t="s">
        <v>55</v>
      </c>
      <c r="J269" s="22" t="s">
        <v>23</v>
      </c>
      <c r="K269" s="17"/>
      <c r="L269" s="17"/>
      <c r="M269" s="17"/>
      <c r="N269" s="17" t="s">
        <v>17</v>
      </c>
      <c r="O269" s="21"/>
      <c r="P269" s="23"/>
    </row>
    <row r="270" spans="1:16">
      <c r="A270" s="18" t="s">
        <v>92</v>
      </c>
      <c r="B270" s="19" t="s">
        <v>13</v>
      </c>
      <c r="C270" s="26">
        <v>7510</v>
      </c>
      <c r="D270" s="117" t="str">
        <f t="shared" si="4"/>
        <v>1478-7510</v>
      </c>
      <c r="E270" s="25" t="s">
        <v>304</v>
      </c>
      <c r="F270" s="25" t="s">
        <v>304</v>
      </c>
      <c r="G270" s="17" t="s">
        <v>305</v>
      </c>
      <c r="H270" s="111" t="s">
        <v>54</v>
      </c>
      <c r="I270" s="111" t="s">
        <v>55</v>
      </c>
      <c r="J270" s="22" t="s">
        <v>23</v>
      </c>
      <c r="K270" s="17"/>
      <c r="L270" s="17"/>
      <c r="M270" s="17"/>
      <c r="N270" s="17" t="s">
        <v>17</v>
      </c>
      <c r="O270" s="21"/>
      <c r="P270" s="23"/>
    </row>
    <row r="271" spans="1:16">
      <c r="A271" s="18" t="s">
        <v>92</v>
      </c>
      <c r="B271" s="19" t="s">
        <v>13</v>
      </c>
      <c r="C271" s="26">
        <v>7520</v>
      </c>
      <c r="D271" s="117" t="str">
        <f t="shared" si="4"/>
        <v>1478-7520</v>
      </c>
      <c r="E271" s="25" t="s">
        <v>306</v>
      </c>
      <c r="F271" s="25" t="s">
        <v>306</v>
      </c>
      <c r="G271" s="17" t="s">
        <v>307</v>
      </c>
      <c r="H271" s="111" t="s">
        <v>54</v>
      </c>
      <c r="I271" s="111" t="s">
        <v>55</v>
      </c>
      <c r="J271" s="22" t="s">
        <v>23</v>
      </c>
      <c r="K271" s="17"/>
      <c r="L271" s="17"/>
      <c r="M271" s="17"/>
      <c r="N271" s="17" t="s">
        <v>17</v>
      </c>
      <c r="O271" s="21"/>
      <c r="P271" s="23"/>
    </row>
    <row r="272" spans="1:16">
      <c r="A272" s="18" t="s">
        <v>92</v>
      </c>
      <c r="B272" s="19" t="s">
        <v>13</v>
      </c>
      <c r="C272" s="26">
        <v>7530</v>
      </c>
      <c r="D272" s="117" t="str">
        <f t="shared" si="4"/>
        <v>1478-7530</v>
      </c>
      <c r="E272" s="25" t="s">
        <v>308</v>
      </c>
      <c r="F272" s="25" t="s">
        <v>308</v>
      </c>
      <c r="G272" s="17" t="s">
        <v>309</v>
      </c>
      <c r="H272" s="111" t="s">
        <v>54</v>
      </c>
      <c r="I272" s="111" t="s">
        <v>55</v>
      </c>
      <c r="J272" s="22" t="s">
        <v>23</v>
      </c>
      <c r="K272" s="17"/>
      <c r="L272" s="17"/>
      <c r="M272" s="17"/>
      <c r="N272" s="17" t="s">
        <v>17</v>
      </c>
      <c r="O272" s="21"/>
      <c r="P272" s="23"/>
    </row>
    <row r="273" spans="1:16">
      <c r="A273" s="18" t="s">
        <v>92</v>
      </c>
      <c r="B273" s="19" t="s">
        <v>13</v>
      </c>
      <c r="C273" s="26">
        <v>7540</v>
      </c>
      <c r="D273" s="117" t="str">
        <f t="shared" si="4"/>
        <v>1478-7540</v>
      </c>
      <c r="E273" s="25" t="s">
        <v>310</v>
      </c>
      <c r="F273" s="25" t="s">
        <v>310</v>
      </c>
      <c r="G273" s="17" t="s">
        <v>311</v>
      </c>
      <c r="H273" s="111" t="s">
        <v>54</v>
      </c>
      <c r="I273" s="111" t="s">
        <v>55</v>
      </c>
      <c r="J273" s="22" t="s">
        <v>23</v>
      </c>
      <c r="K273" s="17"/>
      <c r="L273" s="17"/>
      <c r="M273" s="17"/>
      <c r="N273" s="17" t="s">
        <v>17</v>
      </c>
      <c r="O273" s="21"/>
      <c r="P273" s="23"/>
    </row>
    <row r="274" spans="1:16">
      <c r="A274" s="18" t="s">
        <v>92</v>
      </c>
      <c r="B274" s="19" t="s">
        <v>13</v>
      </c>
      <c r="C274" s="26">
        <v>7550</v>
      </c>
      <c r="D274" s="117" t="str">
        <f t="shared" si="4"/>
        <v>1478-7550</v>
      </c>
      <c r="E274" s="25" t="s">
        <v>312</v>
      </c>
      <c r="F274" s="25" t="s">
        <v>312</v>
      </c>
      <c r="G274" s="17" t="s">
        <v>313</v>
      </c>
      <c r="H274" s="111" t="s">
        <v>54</v>
      </c>
      <c r="I274" s="111" t="s">
        <v>55</v>
      </c>
      <c r="J274" s="22" t="s">
        <v>23</v>
      </c>
      <c r="K274" s="17"/>
      <c r="L274" s="17"/>
      <c r="M274" s="17"/>
      <c r="N274" s="17" t="s">
        <v>17</v>
      </c>
      <c r="O274" s="21"/>
      <c r="P274" s="23"/>
    </row>
    <row r="275" spans="1:16">
      <c r="A275" s="18" t="s">
        <v>92</v>
      </c>
      <c r="B275" s="19" t="s">
        <v>13</v>
      </c>
      <c r="C275" s="26">
        <v>7560</v>
      </c>
      <c r="D275" s="117" t="str">
        <f t="shared" si="4"/>
        <v>1478-7560</v>
      </c>
      <c r="E275" s="25" t="s">
        <v>314</v>
      </c>
      <c r="F275" s="25" t="s">
        <v>314</v>
      </c>
      <c r="G275" s="17" t="s">
        <v>315</v>
      </c>
      <c r="H275" s="111" t="s">
        <v>54</v>
      </c>
      <c r="I275" s="111" t="s">
        <v>55</v>
      </c>
      <c r="J275" s="22" t="s">
        <v>23</v>
      </c>
      <c r="K275" s="17"/>
      <c r="L275" s="17"/>
      <c r="M275" s="17"/>
      <c r="N275" s="17" t="s">
        <v>17</v>
      </c>
      <c r="O275" s="21"/>
      <c r="P275" s="23"/>
    </row>
    <row r="276" spans="1:16">
      <c r="A276" s="18" t="s">
        <v>92</v>
      </c>
      <c r="B276" s="19" t="s">
        <v>13</v>
      </c>
      <c r="C276" s="26">
        <v>7570</v>
      </c>
      <c r="D276" s="117" t="str">
        <f t="shared" si="4"/>
        <v>1478-7570</v>
      </c>
      <c r="E276" s="25" t="s">
        <v>316</v>
      </c>
      <c r="F276" s="25" t="s">
        <v>316</v>
      </c>
      <c r="G276" s="17" t="s">
        <v>317</v>
      </c>
      <c r="H276" s="111" t="s">
        <v>54</v>
      </c>
      <c r="I276" s="111" t="s">
        <v>55</v>
      </c>
      <c r="J276" s="22" t="s">
        <v>23</v>
      </c>
      <c r="K276" s="17"/>
      <c r="L276" s="17"/>
      <c r="M276" s="17"/>
      <c r="N276" s="17" t="s">
        <v>17</v>
      </c>
      <c r="O276" s="21"/>
      <c r="P276" s="23"/>
    </row>
    <row r="277" spans="1:16">
      <c r="A277" s="18" t="s">
        <v>92</v>
      </c>
      <c r="B277" s="19" t="s">
        <v>13</v>
      </c>
      <c r="C277" s="26" t="s">
        <v>318</v>
      </c>
      <c r="D277" s="117" t="str">
        <f t="shared" si="4"/>
        <v>1478-7599</v>
      </c>
      <c r="E277" s="25" t="s">
        <v>319</v>
      </c>
      <c r="F277" s="25" t="s">
        <v>319</v>
      </c>
      <c r="G277" s="17"/>
      <c r="H277" s="17" t="s">
        <v>166</v>
      </c>
      <c r="I277" s="17" t="s">
        <v>55</v>
      </c>
      <c r="J277" s="22" t="s">
        <v>23</v>
      </c>
      <c r="K277" s="17"/>
      <c r="L277" s="17"/>
      <c r="M277" s="17"/>
      <c r="N277" s="17" t="s">
        <v>17</v>
      </c>
      <c r="O277" s="21"/>
      <c r="P277" s="23"/>
    </row>
    <row r="278" spans="1:16">
      <c r="A278" s="30" t="s">
        <v>92</v>
      </c>
      <c r="B278" s="31" t="s">
        <v>13</v>
      </c>
      <c r="C278" s="26">
        <v>7600</v>
      </c>
      <c r="D278" s="117" t="str">
        <f t="shared" si="4"/>
        <v>1478-7600</v>
      </c>
      <c r="E278" s="24" t="s">
        <v>320</v>
      </c>
      <c r="F278" s="25"/>
      <c r="G278" s="17" t="s">
        <v>321</v>
      </c>
      <c r="H278" s="111" t="s">
        <v>54</v>
      </c>
      <c r="I278" s="111" t="s">
        <v>55</v>
      </c>
      <c r="J278" s="22" t="s">
        <v>23</v>
      </c>
      <c r="K278" s="17"/>
      <c r="L278" s="17"/>
      <c r="M278" s="17"/>
      <c r="N278" s="17" t="s">
        <v>17</v>
      </c>
      <c r="O278" s="21"/>
      <c r="P278" s="23"/>
    </row>
    <row r="279" spans="1:16">
      <c r="A279" s="18" t="s">
        <v>92</v>
      </c>
      <c r="B279" s="19" t="s">
        <v>13</v>
      </c>
      <c r="C279" s="26">
        <v>7610</v>
      </c>
      <c r="D279" s="117" t="str">
        <f t="shared" si="4"/>
        <v>1478-7610</v>
      </c>
      <c r="E279" s="25" t="s">
        <v>322</v>
      </c>
      <c r="F279" s="25" t="s">
        <v>322</v>
      </c>
      <c r="G279" s="17" t="s">
        <v>323</v>
      </c>
      <c r="H279" s="111" t="s">
        <v>54</v>
      </c>
      <c r="I279" s="111" t="s">
        <v>55</v>
      </c>
      <c r="J279" s="22" t="s">
        <v>23</v>
      </c>
      <c r="K279" s="17"/>
      <c r="L279" s="17"/>
      <c r="M279" s="17"/>
      <c r="N279" s="17" t="s">
        <v>17</v>
      </c>
      <c r="O279" s="21"/>
      <c r="P279" s="23"/>
    </row>
    <row r="280" spans="1:16">
      <c r="A280" s="18" t="s">
        <v>92</v>
      </c>
      <c r="B280" s="19" t="s">
        <v>13</v>
      </c>
      <c r="C280" s="26">
        <v>7620</v>
      </c>
      <c r="D280" s="117" t="str">
        <f t="shared" si="4"/>
        <v>1478-7620</v>
      </c>
      <c r="E280" s="25" t="s">
        <v>324</v>
      </c>
      <c r="F280" s="25" t="s">
        <v>324</v>
      </c>
      <c r="G280" s="17" t="s">
        <v>325</v>
      </c>
      <c r="H280" s="111" t="s">
        <v>54</v>
      </c>
      <c r="I280" s="111" t="s">
        <v>55</v>
      </c>
      <c r="J280" s="22" t="s">
        <v>23</v>
      </c>
      <c r="K280" s="17"/>
      <c r="L280" s="17"/>
      <c r="M280" s="17"/>
      <c r="N280" s="17" t="s">
        <v>17</v>
      </c>
      <c r="O280" s="21"/>
      <c r="P280" s="23"/>
    </row>
    <row r="281" spans="1:16">
      <c r="A281" s="18" t="s">
        <v>92</v>
      </c>
      <c r="B281" s="19" t="s">
        <v>13</v>
      </c>
      <c r="C281" s="26">
        <v>7699</v>
      </c>
      <c r="D281" s="117" t="str">
        <f t="shared" si="4"/>
        <v>1478-7699</v>
      </c>
      <c r="E281" s="25" t="s">
        <v>326</v>
      </c>
      <c r="F281" s="25" t="s">
        <v>326</v>
      </c>
      <c r="G281" s="17"/>
      <c r="H281" s="17" t="s">
        <v>166</v>
      </c>
      <c r="I281" s="17" t="s">
        <v>55</v>
      </c>
      <c r="J281" s="22" t="s">
        <v>23</v>
      </c>
      <c r="K281" s="17"/>
      <c r="L281" s="17"/>
      <c r="M281" s="17"/>
      <c r="N281" s="17" t="s">
        <v>17</v>
      </c>
      <c r="O281" s="21"/>
      <c r="P281" s="23"/>
    </row>
    <row r="282" spans="1:16">
      <c r="A282" s="30" t="s">
        <v>92</v>
      </c>
      <c r="B282" s="31" t="s">
        <v>13</v>
      </c>
      <c r="C282" s="26">
        <v>7700</v>
      </c>
      <c r="D282" s="117" t="str">
        <f t="shared" si="4"/>
        <v>1478-7700</v>
      </c>
      <c r="E282" s="24" t="s">
        <v>327</v>
      </c>
      <c r="F282" s="109"/>
      <c r="G282" s="17" t="s">
        <v>328</v>
      </c>
      <c r="H282" s="111" t="s">
        <v>54</v>
      </c>
      <c r="I282" s="111" t="s">
        <v>55</v>
      </c>
      <c r="J282" s="22" t="s">
        <v>23</v>
      </c>
      <c r="K282" s="17"/>
      <c r="L282" s="17"/>
      <c r="M282" s="17"/>
      <c r="N282" s="17" t="s">
        <v>17</v>
      </c>
      <c r="O282" s="21"/>
      <c r="P282" s="23"/>
    </row>
    <row r="283" spans="1:16">
      <c r="A283" s="18" t="s">
        <v>92</v>
      </c>
      <c r="B283" s="19" t="s">
        <v>13</v>
      </c>
      <c r="C283" s="26">
        <v>7710</v>
      </c>
      <c r="D283" s="117" t="str">
        <f t="shared" si="4"/>
        <v>1478-7710</v>
      </c>
      <c r="E283" s="25" t="s">
        <v>329</v>
      </c>
      <c r="F283" s="25" t="s">
        <v>329</v>
      </c>
      <c r="G283" s="17" t="s">
        <v>330</v>
      </c>
      <c r="H283" s="111" t="s">
        <v>54</v>
      </c>
      <c r="I283" s="111" t="s">
        <v>55</v>
      </c>
      <c r="J283" s="22" t="s">
        <v>23</v>
      </c>
      <c r="K283" s="17"/>
      <c r="L283" s="17"/>
      <c r="M283" s="17"/>
      <c r="N283" s="17" t="s">
        <v>17</v>
      </c>
      <c r="O283" s="21"/>
      <c r="P283" s="23"/>
    </row>
    <row r="284" spans="1:16">
      <c r="A284" s="18" t="s">
        <v>92</v>
      </c>
      <c r="B284" s="19" t="s">
        <v>13</v>
      </c>
      <c r="C284" s="26">
        <v>7720</v>
      </c>
      <c r="D284" s="117" t="str">
        <f t="shared" si="4"/>
        <v>1478-7720</v>
      </c>
      <c r="E284" s="25" t="s">
        <v>331</v>
      </c>
      <c r="F284" s="25" t="s">
        <v>331</v>
      </c>
      <c r="G284" s="17" t="s">
        <v>332</v>
      </c>
      <c r="H284" s="111" t="s">
        <v>54</v>
      </c>
      <c r="I284" s="111" t="s">
        <v>55</v>
      </c>
      <c r="J284" s="22" t="s">
        <v>23</v>
      </c>
      <c r="K284" s="17"/>
      <c r="L284" s="17"/>
      <c r="M284" s="17"/>
      <c r="N284" s="17" t="s">
        <v>17</v>
      </c>
      <c r="O284" s="21"/>
      <c r="P284" s="23"/>
    </row>
    <row r="285" spans="1:16">
      <c r="A285" s="18" t="s">
        <v>92</v>
      </c>
      <c r="B285" s="19" t="s">
        <v>13</v>
      </c>
      <c r="C285" s="26">
        <v>7730</v>
      </c>
      <c r="D285" s="117" t="str">
        <f t="shared" si="4"/>
        <v>1478-7730</v>
      </c>
      <c r="E285" s="25" t="s">
        <v>333</v>
      </c>
      <c r="F285" s="25" t="s">
        <v>333</v>
      </c>
      <c r="G285" s="17" t="s">
        <v>334</v>
      </c>
      <c r="H285" s="111" t="s">
        <v>54</v>
      </c>
      <c r="I285" s="111" t="s">
        <v>55</v>
      </c>
      <c r="J285" s="22" t="s">
        <v>23</v>
      </c>
      <c r="K285" s="17"/>
      <c r="L285" s="17"/>
      <c r="M285" s="17"/>
      <c r="N285" s="17" t="s">
        <v>17</v>
      </c>
      <c r="O285" s="21"/>
      <c r="P285" s="23"/>
    </row>
    <row r="286" spans="1:16">
      <c r="A286" s="18" t="s">
        <v>92</v>
      </c>
      <c r="B286" s="19" t="s">
        <v>13</v>
      </c>
      <c r="C286" s="26">
        <v>7740</v>
      </c>
      <c r="D286" s="117" t="str">
        <f t="shared" si="4"/>
        <v>1478-7740</v>
      </c>
      <c r="E286" s="25" t="s">
        <v>335</v>
      </c>
      <c r="F286" s="25" t="s">
        <v>335</v>
      </c>
      <c r="G286" s="17" t="s">
        <v>336</v>
      </c>
      <c r="H286" s="111" t="s">
        <v>54</v>
      </c>
      <c r="I286" s="111" t="s">
        <v>55</v>
      </c>
      <c r="J286" s="22" t="s">
        <v>23</v>
      </c>
      <c r="K286" s="17"/>
      <c r="L286" s="17"/>
      <c r="M286" s="17"/>
      <c r="N286" s="17" t="s">
        <v>17</v>
      </c>
      <c r="O286" s="21"/>
      <c r="P286" s="23"/>
    </row>
    <row r="287" spans="1:16">
      <c r="A287" s="18" t="s">
        <v>92</v>
      </c>
      <c r="B287" s="19" t="s">
        <v>13</v>
      </c>
      <c r="C287" s="26">
        <v>7750</v>
      </c>
      <c r="D287" s="117" t="str">
        <f t="shared" si="4"/>
        <v>1478-7750</v>
      </c>
      <c r="E287" s="25" t="s">
        <v>337</v>
      </c>
      <c r="F287" s="25" t="s">
        <v>337</v>
      </c>
      <c r="G287" s="17" t="s">
        <v>338</v>
      </c>
      <c r="H287" s="111" t="s">
        <v>54</v>
      </c>
      <c r="I287" s="111" t="s">
        <v>55</v>
      </c>
      <c r="J287" s="22" t="s">
        <v>23</v>
      </c>
      <c r="K287" s="17"/>
      <c r="L287" s="17"/>
      <c r="M287" s="17"/>
      <c r="N287" s="17" t="s">
        <v>17</v>
      </c>
      <c r="O287" s="21"/>
      <c r="P287" s="23"/>
    </row>
    <row r="288" spans="1:16">
      <c r="A288" s="18" t="s">
        <v>92</v>
      </c>
      <c r="B288" s="19" t="s">
        <v>13</v>
      </c>
      <c r="C288" s="26">
        <v>7760</v>
      </c>
      <c r="D288" s="117" t="str">
        <f t="shared" si="4"/>
        <v>1478-7760</v>
      </c>
      <c r="E288" s="25" t="s">
        <v>339</v>
      </c>
      <c r="F288" s="25" t="s">
        <v>339</v>
      </c>
      <c r="G288" s="17" t="s">
        <v>340</v>
      </c>
      <c r="H288" s="111" t="s">
        <v>54</v>
      </c>
      <c r="I288" s="111" t="s">
        <v>55</v>
      </c>
      <c r="J288" s="22" t="s">
        <v>23</v>
      </c>
      <c r="K288" s="17"/>
      <c r="L288" s="17"/>
      <c r="M288" s="17"/>
      <c r="N288" s="17" t="s">
        <v>17</v>
      </c>
      <c r="O288" s="21"/>
      <c r="P288" s="23"/>
    </row>
    <row r="289" spans="1:16">
      <c r="A289" s="18" t="s">
        <v>92</v>
      </c>
      <c r="B289" s="19" t="s">
        <v>13</v>
      </c>
      <c r="C289" s="26">
        <v>7770</v>
      </c>
      <c r="D289" s="117" t="str">
        <f t="shared" si="4"/>
        <v>1478-7770</v>
      </c>
      <c r="E289" s="25" t="s">
        <v>204</v>
      </c>
      <c r="F289" s="25" t="s">
        <v>204</v>
      </c>
      <c r="G289" s="17" t="s">
        <v>341</v>
      </c>
      <c r="H289" s="111" t="s">
        <v>54</v>
      </c>
      <c r="I289" s="111" t="s">
        <v>55</v>
      </c>
      <c r="J289" s="22" t="s">
        <v>23</v>
      </c>
      <c r="K289" s="17"/>
      <c r="L289" s="17"/>
      <c r="M289" s="17"/>
      <c r="N289" s="17" t="s">
        <v>17</v>
      </c>
      <c r="O289" s="21"/>
      <c r="P289" s="23"/>
    </row>
    <row r="290" spans="1:16">
      <c r="A290" s="18" t="s">
        <v>92</v>
      </c>
      <c r="B290" s="19" t="s">
        <v>13</v>
      </c>
      <c r="C290" s="26">
        <v>7780</v>
      </c>
      <c r="D290" s="117" t="str">
        <f t="shared" si="4"/>
        <v>1478-7780</v>
      </c>
      <c r="E290" s="25" t="s">
        <v>342</v>
      </c>
      <c r="F290" s="25" t="s">
        <v>342</v>
      </c>
      <c r="G290" s="17" t="s">
        <v>343</v>
      </c>
      <c r="H290" s="111" t="s">
        <v>54</v>
      </c>
      <c r="I290" s="111" t="s">
        <v>55</v>
      </c>
      <c r="J290" s="22" t="s">
        <v>23</v>
      </c>
      <c r="K290" s="17"/>
      <c r="L290" s="17"/>
      <c r="M290" s="17"/>
      <c r="N290" s="17" t="s">
        <v>17</v>
      </c>
      <c r="O290" s="21"/>
      <c r="P290" s="23"/>
    </row>
    <row r="291" spans="1:16">
      <c r="A291" s="18" t="s">
        <v>92</v>
      </c>
      <c r="B291" s="19" t="s">
        <v>13</v>
      </c>
      <c r="C291" s="26">
        <v>7790</v>
      </c>
      <c r="D291" s="117" t="str">
        <f t="shared" si="4"/>
        <v>1478-7790</v>
      </c>
      <c r="E291" s="25" t="s">
        <v>344</v>
      </c>
      <c r="F291" s="25" t="s">
        <v>344</v>
      </c>
      <c r="G291" s="17" t="s">
        <v>345</v>
      </c>
      <c r="H291" s="111" t="s">
        <v>54</v>
      </c>
      <c r="I291" s="111" t="s">
        <v>55</v>
      </c>
      <c r="J291" s="22" t="s">
        <v>23</v>
      </c>
      <c r="K291" s="17"/>
      <c r="L291" s="17"/>
      <c r="M291" s="17"/>
      <c r="N291" s="17" t="s">
        <v>17</v>
      </c>
      <c r="O291" s="21"/>
      <c r="P291" s="23"/>
    </row>
    <row r="292" spans="1:16">
      <c r="A292" s="18" t="s">
        <v>92</v>
      </c>
      <c r="B292" s="19" t="s">
        <v>13</v>
      </c>
      <c r="C292" s="26" t="s">
        <v>346</v>
      </c>
      <c r="D292" s="117" t="str">
        <f t="shared" si="4"/>
        <v>1478-7799</v>
      </c>
      <c r="E292" s="25" t="s">
        <v>347</v>
      </c>
      <c r="F292" s="25" t="s">
        <v>347</v>
      </c>
      <c r="G292" s="17"/>
      <c r="H292" s="17" t="s">
        <v>166</v>
      </c>
      <c r="I292" s="17" t="s">
        <v>55</v>
      </c>
      <c r="J292" s="22" t="s">
        <v>23</v>
      </c>
      <c r="K292" s="17"/>
      <c r="L292" s="17"/>
      <c r="M292" s="17"/>
      <c r="N292" s="17" t="s">
        <v>17</v>
      </c>
      <c r="O292" s="21"/>
      <c r="P292" s="23"/>
    </row>
    <row r="293" spans="1:16">
      <c r="A293" s="30" t="s">
        <v>92</v>
      </c>
      <c r="B293" s="31" t="s">
        <v>13</v>
      </c>
      <c r="C293" s="26">
        <v>7800</v>
      </c>
      <c r="D293" s="117" t="str">
        <f t="shared" si="4"/>
        <v>1478-7800</v>
      </c>
      <c r="E293" s="24" t="s">
        <v>348</v>
      </c>
      <c r="F293" s="109"/>
      <c r="G293" s="17" t="s">
        <v>349</v>
      </c>
      <c r="H293" s="17" t="s">
        <v>166</v>
      </c>
      <c r="I293" s="17" t="s">
        <v>55</v>
      </c>
      <c r="J293" s="22" t="s">
        <v>23</v>
      </c>
      <c r="K293" s="17"/>
      <c r="L293" s="17"/>
      <c r="M293" s="17"/>
      <c r="N293" s="17" t="s">
        <v>17</v>
      </c>
      <c r="O293" s="21"/>
      <c r="P293" s="23"/>
    </row>
    <row r="294" spans="1:16">
      <c r="A294" s="18" t="s">
        <v>92</v>
      </c>
      <c r="B294" s="19" t="s">
        <v>13</v>
      </c>
      <c r="C294" s="26">
        <v>7810</v>
      </c>
      <c r="D294" s="117" t="str">
        <f t="shared" si="4"/>
        <v>1478-7810</v>
      </c>
      <c r="E294" s="24"/>
      <c r="F294" s="25" t="s">
        <v>350</v>
      </c>
      <c r="G294" s="17" t="s">
        <v>351</v>
      </c>
      <c r="H294" s="17" t="s">
        <v>166</v>
      </c>
      <c r="I294" s="17" t="s">
        <v>55</v>
      </c>
      <c r="J294" s="22" t="s">
        <v>23</v>
      </c>
      <c r="K294" s="17"/>
      <c r="L294" s="17"/>
      <c r="M294" s="17"/>
      <c r="N294" s="17"/>
      <c r="O294" s="21"/>
      <c r="P294" s="23"/>
    </row>
    <row r="295" spans="1:16">
      <c r="A295" s="18" t="s">
        <v>92</v>
      </c>
      <c r="B295" s="19" t="s">
        <v>13</v>
      </c>
      <c r="C295" s="26">
        <v>7820</v>
      </c>
      <c r="D295" s="117" t="str">
        <f t="shared" si="4"/>
        <v>1478-7820</v>
      </c>
      <c r="E295" s="24"/>
      <c r="F295" s="25" t="s">
        <v>153</v>
      </c>
      <c r="G295" s="17" t="s">
        <v>352</v>
      </c>
      <c r="H295" s="17" t="s">
        <v>166</v>
      </c>
      <c r="I295" s="17" t="s">
        <v>55</v>
      </c>
      <c r="J295" s="22" t="s">
        <v>23</v>
      </c>
      <c r="K295" s="17"/>
      <c r="L295" s="17"/>
      <c r="M295" s="17"/>
      <c r="N295" s="17"/>
      <c r="O295" s="21"/>
      <c r="P295" s="23"/>
    </row>
    <row r="296" spans="1:16">
      <c r="A296" s="18" t="s">
        <v>92</v>
      </c>
      <c r="B296" s="19" t="s">
        <v>13</v>
      </c>
      <c r="C296" s="26">
        <v>7830</v>
      </c>
      <c r="D296" s="117" t="str">
        <f t="shared" si="4"/>
        <v>1478-7830</v>
      </c>
      <c r="E296" s="24"/>
      <c r="F296" s="25" t="s">
        <v>353</v>
      </c>
      <c r="G296" s="17" t="s">
        <v>354</v>
      </c>
      <c r="H296" s="17" t="s">
        <v>166</v>
      </c>
      <c r="I296" s="17" t="s">
        <v>55</v>
      </c>
      <c r="J296" s="22" t="s">
        <v>23</v>
      </c>
      <c r="K296" s="17"/>
      <c r="L296" s="17"/>
      <c r="M296" s="17"/>
      <c r="N296" s="17"/>
      <c r="O296" s="21"/>
      <c r="P296" s="23"/>
    </row>
    <row r="297" spans="1:16">
      <c r="A297" s="18" t="s">
        <v>92</v>
      </c>
      <c r="B297" s="19" t="s">
        <v>13</v>
      </c>
      <c r="C297" s="26">
        <v>7860</v>
      </c>
      <c r="D297" s="117" t="str">
        <f t="shared" si="4"/>
        <v>1478-7860</v>
      </c>
      <c r="E297" s="24"/>
      <c r="F297" s="25" t="s">
        <v>355</v>
      </c>
      <c r="G297" s="17" t="s">
        <v>356</v>
      </c>
      <c r="H297" s="17" t="s">
        <v>166</v>
      </c>
      <c r="I297" s="17" t="s">
        <v>55</v>
      </c>
      <c r="J297" s="22" t="s">
        <v>23</v>
      </c>
      <c r="K297" s="17"/>
      <c r="L297" s="17"/>
      <c r="M297" s="17"/>
      <c r="N297" s="17"/>
      <c r="O297" s="21"/>
      <c r="P297" s="23"/>
    </row>
    <row r="298" spans="1:16">
      <c r="A298" s="18" t="s">
        <v>92</v>
      </c>
      <c r="B298" s="19" t="s">
        <v>13</v>
      </c>
      <c r="C298" s="26" t="s">
        <v>357</v>
      </c>
      <c r="D298" s="117" t="str">
        <f t="shared" si="4"/>
        <v>1478-7899</v>
      </c>
      <c r="E298" s="24"/>
      <c r="F298" s="25" t="s">
        <v>358</v>
      </c>
      <c r="G298" s="17"/>
      <c r="H298" s="17" t="s">
        <v>166</v>
      </c>
      <c r="I298" s="17" t="s">
        <v>55</v>
      </c>
      <c r="J298" s="22" t="s">
        <v>23</v>
      </c>
      <c r="K298" s="17"/>
      <c r="L298" s="17"/>
      <c r="M298" s="17"/>
      <c r="N298" s="17" t="s">
        <v>17</v>
      </c>
      <c r="O298" s="21"/>
      <c r="P298" s="23"/>
    </row>
    <row r="299" spans="1:16">
      <c r="A299" s="30" t="s">
        <v>92</v>
      </c>
      <c r="B299" s="31" t="s">
        <v>13</v>
      </c>
      <c r="C299" s="26" t="s">
        <v>359</v>
      </c>
      <c r="D299" s="117" t="str">
        <f t="shared" si="4"/>
        <v>1478-7A00</v>
      </c>
      <c r="E299" s="24" t="s">
        <v>360</v>
      </c>
      <c r="F299" s="25"/>
      <c r="G299" s="17" t="s">
        <v>361</v>
      </c>
      <c r="H299" s="111" t="s">
        <v>54</v>
      </c>
      <c r="I299" s="111" t="s">
        <v>55</v>
      </c>
      <c r="J299" s="22" t="s">
        <v>23</v>
      </c>
      <c r="K299" s="17"/>
      <c r="L299" s="17"/>
      <c r="M299" s="17" t="s">
        <v>17</v>
      </c>
      <c r="N299" s="17" t="s">
        <v>17</v>
      </c>
      <c r="O299" s="21"/>
      <c r="P299" s="23"/>
    </row>
    <row r="300" spans="1:16">
      <c r="A300" s="18" t="s">
        <v>92</v>
      </c>
      <c r="B300" s="19" t="s">
        <v>13</v>
      </c>
      <c r="C300" s="26" t="s">
        <v>362</v>
      </c>
      <c r="D300" s="117" t="str">
        <f t="shared" si="4"/>
        <v>1478-7A99</v>
      </c>
      <c r="E300" s="25" t="s">
        <v>363</v>
      </c>
      <c r="F300" s="25" t="s">
        <v>363</v>
      </c>
      <c r="G300" s="17"/>
      <c r="H300" s="17" t="s">
        <v>166</v>
      </c>
      <c r="I300" s="17" t="s">
        <v>55</v>
      </c>
      <c r="J300" s="22" t="s">
        <v>23</v>
      </c>
      <c r="K300" s="17"/>
      <c r="L300" s="17"/>
      <c r="M300" s="17"/>
      <c r="N300" s="17" t="s">
        <v>17</v>
      </c>
      <c r="O300" s="21"/>
      <c r="P300" s="23"/>
    </row>
    <row r="301" spans="1:16">
      <c r="A301" s="18" t="s">
        <v>92</v>
      </c>
      <c r="B301" s="19" t="s">
        <v>13</v>
      </c>
      <c r="C301" s="16">
        <v>31</v>
      </c>
      <c r="D301" s="117" t="str">
        <f t="shared" si="4"/>
        <v>1478-31</v>
      </c>
      <c r="E301" s="110" t="s">
        <v>364</v>
      </c>
      <c r="F301" s="109"/>
      <c r="G301" s="17"/>
      <c r="H301" s="22"/>
      <c r="I301" s="22"/>
      <c r="J301" s="22" t="s">
        <v>23</v>
      </c>
      <c r="K301" s="17"/>
      <c r="L301" s="17"/>
      <c r="M301" s="17"/>
      <c r="N301" s="17"/>
      <c r="O301" s="21"/>
      <c r="P301" s="23"/>
    </row>
    <row r="302" spans="1:16">
      <c r="A302" s="18" t="s">
        <v>92</v>
      </c>
      <c r="B302" s="19" t="s">
        <v>13</v>
      </c>
      <c r="C302" s="26" t="s">
        <v>365</v>
      </c>
      <c r="D302" s="117" t="str">
        <f t="shared" si="4"/>
        <v>1478-7Z00</v>
      </c>
      <c r="E302" s="24" t="s">
        <v>366</v>
      </c>
      <c r="F302" s="25"/>
      <c r="G302" s="17" t="s">
        <v>367</v>
      </c>
      <c r="H302" s="111" t="s">
        <v>54</v>
      </c>
      <c r="I302" s="111" t="s">
        <v>55</v>
      </c>
      <c r="J302" s="22" t="s">
        <v>23</v>
      </c>
      <c r="K302" s="17"/>
      <c r="L302" s="17"/>
      <c r="M302" s="17"/>
      <c r="N302" s="17" t="s">
        <v>17</v>
      </c>
      <c r="O302" s="21"/>
      <c r="P302" s="23"/>
    </row>
    <row r="303" spans="1:16">
      <c r="A303" s="18" t="s">
        <v>92</v>
      </c>
      <c r="B303" s="19" t="s">
        <v>13</v>
      </c>
      <c r="C303" s="26" t="s">
        <v>368</v>
      </c>
      <c r="D303" s="117" t="str">
        <f t="shared" si="4"/>
        <v>1478-7Z99</v>
      </c>
      <c r="E303" s="24" t="s">
        <v>369</v>
      </c>
      <c r="F303" s="25"/>
      <c r="G303" s="17" t="s">
        <v>370</v>
      </c>
      <c r="H303" s="111" t="s">
        <v>54</v>
      </c>
      <c r="I303" s="111" t="s">
        <v>55</v>
      </c>
      <c r="J303" s="22" t="s">
        <v>23</v>
      </c>
      <c r="K303" s="17"/>
      <c r="L303" s="17"/>
      <c r="M303" s="17" t="s">
        <v>76</v>
      </c>
      <c r="N303" s="17" t="s">
        <v>76</v>
      </c>
      <c r="O303" s="21"/>
      <c r="P303" s="23"/>
    </row>
    <row r="304" spans="1:16">
      <c r="A304" s="18" t="s">
        <v>92</v>
      </c>
      <c r="B304" s="19" t="s">
        <v>13</v>
      </c>
      <c r="C304" s="26" t="s">
        <v>371</v>
      </c>
      <c r="D304" s="117" t="str">
        <f t="shared" si="4"/>
        <v>1478-7Z9Z</v>
      </c>
      <c r="E304" s="25" t="s">
        <v>372</v>
      </c>
      <c r="F304" s="25" t="s">
        <v>372</v>
      </c>
      <c r="G304" s="17"/>
      <c r="H304" s="22"/>
      <c r="I304" s="22"/>
      <c r="J304" s="22" t="s">
        <v>23</v>
      </c>
      <c r="K304" s="17"/>
      <c r="L304" s="17"/>
      <c r="M304" s="17" t="s">
        <v>76</v>
      </c>
      <c r="N304" s="17" t="s">
        <v>76</v>
      </c>
      <c r="O304" s="21"/>
      <c r="P304" s="23"/>
    </row>
    <row r="305" spans="1:16">
      <c r="A305" s="18" t="s">
        <v>92</v>
      </c>
      <c r="B305" s="19" t="s">
        <v>13</v>
      </c>
      <c r="C305" s="26" t="s">
        <v>373</v>
      </c>
      <c r="D305" s="117" t="str">
        <f t="shared" si="4"/>
        <v>1478-9Z00</v>
      </c>
      <c r="E305" s="24" t="s">
        <v>374</v>
      </c>
      <c r="F305" s="25"/>
      <c r="G305" s="17" t="s">
        <v>375</v>
      </c>
      <c r="H305" s="111" t="s">
        <v>54</v>
      </c>
      <c r="I305" s="111" t="s">
        <v>55</v>
      </c>
      <c r="J305" s="22" t="s">
        <v>23</v>
      </c>
      <c r="K305" s="17"/>
      <c r="L305" s="17"/>
      <c r="M305" s="17"/>
      <c r="N305" s="17" t="s">
        <v>17</v>
      </c>
      <c r="O305" s="21"/>
      <c r="P305" s="23"/>
    </row>
    <row r="306" spans="1:16">
      <c r="A306" s="18" t="s">
        <v>92</v>
      </c>
      <c r="B306" s="19" t="s">
        <v>13</v>
      </c>
      <c r="C306" s="26" t="s">
        <v>376</v>
      </c>
      <c r="D306" s="117" t="str">
        <f t="shared" si="4"/>
        <v>1478-BZ00</v>
      </c>
      <c r="E306" s="24" t="s">
        <v>377</v>
      </c>
      <c r="F306" s="25"/>
      <c r="G306" s="17" t="s">
        <v>378</v>
      </c>
      <c r="H306" s="111" t="s">
        <v>54</v>
      </c>
      <c r="I306" s="111" t="s">
        <v>55</v>
      </c>
      <c r="J306" s="22" t="s">
        <v>23</v>
      </c>
      <c r="K306" s="17"/>
      <c r="L306" s="17"/>
      <c r="M306" s="17"/>
      <c r="N306" s="17" t="s">
        <v>17</v>
      </c>
      <c r="O306" s="21"/>
      <c r="P306" s="23"/>
    </row>
    <row r="307" spans="1:16">
      <c r="A307" s="30" t="s">
        <v>92</v>
      </c>
      <c r="B307" s="31" t="s">
        <v>13</v>
      </c>
      <c r="C307" s="26" t="s">
        <v>379</v>
      </c>
      <c r="D307" s="117" t="str">
        <f t="shared" si="4"/>
        <v>1478-ZZ00</v>
      </c>
      <c r="E307" s="24" t="s">
        <v>108</v>
      </c>
      <c r="F307" s="25"/>
      <c r="G307" s="17" t="s">
        <v>380</v>
      </c>
      <c r="H307" s="111" t="s">
        <v>54</v>
      </c>
      <c r="I307" s="111" t="s">
        <v>55</v>
      </c>
      <c r="J307" s="22" t="s">
        <v>23</v>
      </c>
      <c r="K307" s="17"/>
      <c r="L307" s="17"/>
      <c r="M307" s="17"/>
      <c r="N307" s="17"/>
      <c r="O307" s="21"/>
      <c r="P307" s="23"/>
    </row>
    <row r="308" spans="1:16">
      <c r="A308" s="14" t="s">
        <v>381</v>
      </c>
      <c r="B308" s="15"/>
      <c r="C308" s="16" t="s">
        <v>9</v>
      </c>
      <c r="D308" s="117" t="str">
        <f t="shared" si="4"/>
        <v>1479</v>
      </c>
      <c r="E308" s="45" t="s">
        <v>382</v>
      </c>
      <c r="F308" s="46"/>
      <c r="G308" s="17"/>
      <c r="H308" s="47"/>
      <c r="I308" s="47"/>
      <c r="J308" s="47"/>
      <c r="K308" s="17"/>
      <c r="L308" s="17"/>
      <c r="M308" s="17"/>
      <c r="N308" s="17"/>
      <c r="O308" s="21"/>
      <c r="P308" s="23"/>
    </row>
    <row r="309" spans="1:16">
      <c r="A309" s="30" t="s">
        <v>381</v>
      </c>
      <c r="B309" s="31" t="s">
        <v>13</v>
      </c>
      <c r="C309" s="26" t="s">
        <v>62</v>
      </c>
      <c r="D309" s="117" t="str">
        <f t="shared" si="4"/>
        <v>1479-7000</v>
      </c>
      <c r="E309" s="24" t="s">
        <v>383</v>
      </c>
      <c r="F309" s="25"/>
      <c r="G309" s="17" t="s">
        <v>384</v>
      </c>
      <c r="H309" s="111" t="s">
        <v>54</v>
      </c>
      <c r="I309" s="111" t="s">
        <v>55</v>
      </c>
      <c r="J309" s="22" t="s">
        <v>23</v>
      </c>
      <c r="K309" s="17"/>
      <c r="L309" s="17" t="s">
        <v>76</v>
      </c>
      <c r="M309" s="17" t="s">
        <v>17</v>
      </c>
      <c r="N309" s="17" t="s">
        <v>17</v>
      </c>
      <c r="O309" s="21"/>
      <c r="P309" s="23"/>
    </row>
    <row r="310" spans="1:16">
      <c r="A310" s="18" t="s">
        <v>381</v>
      </c>
      <c r="B310" s="19" t="s">
        <v>13</v>
      </c>
      <c r="C310" s="26" t="s">
        <v>65</v>
      </c>
      <c r="D310" s="117" t="str">
        <f t="shared" si="4"/>
        <v>1479-7001</v>
      </c>
      <c r="E310" s="24" t="s">
        <v>385</v>
      </c>
      <c r="F310" s="25"/>
      <c r="G310" s="17" t="s">
        <v>386</v>
      </c>
      <c r="H310" s="111" t="s">
        <v>54</v>
      </c>
      <c r="I310" s="111" t="s">
        <v>55</v>
      </c>
      <c r="J310" s="22" t="s">
        <v>23</v>
      </c>
      <c r="K310" s="17"/>
      <c r="L310" s="62">
        <v>0.3</v>
      </c>
      <c r="M310" s="62">
        <v>0.1</v>
      </c>
      <c r="N310" s="62">
        <v>0.05</v>
      </c>
      <c r="O310" s="21"/>
      <c r="P310" s="23"/>
    </row>
    <row r="311" spans="1:16">
      <c r="A311" s="14" t="s">
        <v>387</v>
      </c>
      <c r="B311" s="15"/>
      <c r="C311" s="16" t="s">
        <v>9</v>
      </c>
      <c r="D311" s="117" t="str">
        <f t="shared" si="4"/>
        <v>147Z</v>
      </c>
      <c r="E311" s="45" t="s">
        <v>388</v>
      </c>
      <c r="F311" s="46"/>
      <c r="G311" s="17"/>
      <c r="H311" s="47"/>
      <c r="I311" s="47"/>
      <c r="J311" s="47"/>
      <c r="K311" s="17"/>
      <c r="L311" s="17"/>
      <c r="M311" s="17"/>
      <c r="N311" s="17"/>
      <c r="O311" s="21"/>
      <c r="P311" s="23"/>
    </row>
    <row r="312" spans="1:16">
      <c r="A312" s="30" t="s">
        <v>387</v>
      </c>
      <c r="B312" s="31" t="s">
        <v>13</v>
      </c>
      <c r="C312" s="26" t="s">
        <v>62</v>
      </c>
      <c r="D312" s="117" t="str">
        <f t="shared" si="4"/>
        <v>147Z-7000</v>
      </c>
      <c r="E312" s="24" t="s">
        <v>389</v>
      </c>
      <c r="F312" s="25"/>
      <c r="G312" s="17" t="s">
        <v>390</v>
      </c>
      <c r="H312" s="111" t="s">
        <v>127</v>
      </c>
      <c r="I312" s="111" t="s">
        <v>55</v>
      </c>
      <c r="J312" s="22" t="s">
        <v>43</v>
      </c>
      <c r="K312" s="17"/>
      <c r="L312" s="17"/>
      <c r="M312" s="17"/>
      <c r="N312" s="17" t="s">
        <v>17</v>
      </c>
      <c r="O312" s="21"/>
      <c r="P312" s="23"/>
    </row>
    <row r="313" spans="1:16">
      <c r="A313" s="30"/>
      <c r="B313" s="31"/>
      <c r="C313" s="26" t="s">
        <v>9</v>
      </c>
      <c r="D313" s="118"/>
      <c r="E313" s="24"/>
      <c r="F313" s="25"/>
      <c r="G313" s="17"/>
      <c r="H313" s="22"/>
      <c r="I313" s="22"/>
      <c r="J313" s="22"/>
      <c r="K313" s="17"/>
      <c r="L313" s="17"/>
      <c r="M313" s="17"/>
      <c r="N313" s="17"/>
      <c r="O313" s="21"/>
      <c r="P313" s="23"/>
    </row>
  </sheetData>
  <autoFilter ref="A1:P313" xr:uid="{20C05084-0CAD-4271-ABC2-1354267549C7}">
    <filterColumn colId="0" showButton="0"/>
    <filterColumn colId="1" showButton="0"/>
    <filterColumn colId="4" showButton="0"/>
  </autoFilter>
  <mergeCells count="2">
    <mergeCell ref="A1:C1"/>
    <mergeCell ref="E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5928A-AC93-411F-8E5D-4C85A6F7CC68}">
  <sheetPr codeName="Sheet3"/>
  <dimension ref="A1:H240"/>
  <sheetViews>
    <sheetView zoomScale="120" zoomScaleNormal="120" workbookViewId="0">
      <selection activeCell="C16" sqref="C16"/>
    </sheetView>
  </sheetViews>
  <sheetFormatPr defaultRowHeight="15"/>
  <cols>
    <col min="1" max="1" width="10.5703125" bestFit="1" customWidth="1"/>
    <col min="2" max="2" width="44" bestFit="1" customWidth="1"/>
    <col min="3" max="3" width="73.85546875" bestFit="1" customWidth="1"/>
    <col min="4" max="5" width="6" bestFit="1" customWidth="1"/>
    <col min="6" max="6" width="7" bestFit="1" customWidth="1"/>
  </cols>
  <sheetData>
    <row r="1" spans="1:8">
      <c r="A1" s="119" t="s">
        <v>393</v>
      </c>
      <c r="B1" s="119" t="s">
        <v>394</v>
      </c>
      <c r="C1" s="120" t="s">
        <v>395</v>
      </c>
      <c r="D1" s="120" t="s">
        <v>396</v>
      </c>
      <c r="E1" s="120" t="s">
        <v>397</v>
      </c>
      <c r="F1" s="120" t="s">
        <v>166</v>
      </c>
      <c r="G1" s="143" t="s">
        <v>398</v>
      </c>
      <c r="H1" s="143"/>
    </row>
    <row r="2" spans="1:8" ht="15.75" customHeight="1">
      <c r="A2" s="121" t="s">
        <v>399</v>
      </c>
      <c r="B2" s="121" t="s">
        <v>400</v>
      </c>
      <c r="C2" s="121" t="s">
        <v>401</v>
      </c>
      <c r="D2" s="142"/>
      <c r="E2" s="142"/>
      <c r="F2" s="121"/>
      <c r="G2" s="142">
        <v>1</v>
      </c>
      <c r="H2" s="142"/>
    </row>
    <row r="3" spans="1:8">
      <c r="A3" s="122" t="s">
        <v>399</v>
      </c>
      <c r="B3" s="122" t="s">
        <v>402</v>
      </c>
      <c r="C3" s="122" t="s">
        <v>403</v>
      </c>
      <c r="D3" s="140"/>
      <c r="E3" s="140"/>
      <c r="F3" s="122"/>
      <c r="G3" s="140">
        <v>0.01</v>
      </c>
      <c r="H3" s="140"/>
    </row>
    <row r="4" spans="1:8">
      <c r="A4" s="121" t="s">
        <v>404</v>
      </c>
      <c r="B4" s="121" t="s">
        <v>405</v>
      </c>
      <c r="C4" s="121" t="s">
        <v>406</v>
      </c>
      <c r="D4" s="142"/>
      <c r="E4" s="142"/>
      <c r="F4" s="121"/>
      <c r="G4" s="142">
        <v>0.13</v>
      </c>
      <c r="H4" s="142"/>
    </row>
    <row r="5" spans="1:8">
      <c r="A5" s="122" t="s">
        <v>407</v>
      </c>
      <c r="B5" s="122" t="s">
        <v>408</v>
      </c>
      <c r="C5" s="122" t="s">
        <v>409</v>
      </c>
      <c r="D5" s="122"/>
      <c r="E5" s="122">
        <v>1</v>
      </c>
      <c r="F5" s="122">
        <v>1</v>
      </c>
      <c r="G5" s="140"/>
      <c r="H5" s="140"/>
    </row>
    <row r="6" spans="1:8">
      <c r="A6" s="121" t="s">
        <v>407</v>
      </c>
      <c r="B6" s="121" t="s">
        <v>408</v>
      </c>
      <c r="C6" s="121" t="s">
        <v>410</v>
      </c>
      <c r="D6" s="121"/>
      <c r="E6" s="121">
        <v>8</v>
      </c>
      <c r="F6" s="121">
        <v>8</v>
      </c>
      <c r="G6" s="142"/>
      <c r="H6" s="142"/>
    </row>
    <row r="7" spans="1:8">
      <c r="A7" s="123" t="s">
        <v>411</v>
      </c>
      <c r="B7" s="122" t="s">
        <v>412</v>
      </c>
      <c r="C7" s="122" t="s">
        <v>413</v>
      </c>
      <c r="D7" s="140"/>
      <c r="E7" s="140"/>
      <c r="F7" s="122">
        <v>2</v>
      </c>
      <c r="G7" s="140"/>
      <c r="H7" s="140"/>
    </row>
    <row r="8" spans="1:8">
      <c r="A8" s="124" t="s">
        <v>411</v>
      </c>
      <c r="B8" s="121" t="s">
        <v>412</v>
      </c>
      <c r="C8" s="121" t="s">
        <v>414</v>
      </c>
      <c r="D8" s="142"/>
      <c r="E8" s="142"/>
      <c r="F8" s="121">
        <v>4</v>
      </c>
      <c r="G8" s="142"/>
      <c r="H8" s="142"/>
    </row>
    <row r="9" spans="1:8">
      <c r="A9" s="123" t="s">
        <v>415</v>
      </c>
      <c r="B9" s="122" t="s">
        <v>416</v>
      </c>
      <c r="C9" s="122" t="s">
        <v>417</v>
      </c>
      <c r="D9" s="140"/>
      <c r="E9" s="140"/>
      <c r="F9" s="122">
        <v>2</v>
      </c>
      <c r="G9" s="140"/>
      <c r="H9" s="140"/>
    </row>
    <row r="10" spans="1:8">
      <c r="A10" s="124" t="s">
        <v>415</v>
      </c>
      <c r="B10" s="121" t="s">
        <v>416</v>
      </c>
      <c r="C10" s="121" t="s">
        <v>418</v>
      </c>
      <c r="D10" s="142"/>
      <c r="E10" s="142"/>
      <c r="F10" s="121">
        <v>4</v>
      </c>
      <c r="G10" s="142"/>
      <c r="H10" s="142"/>
    </row>
    <row r="11" spans="1:8">
      <c r="A11" s="123" t="s">
        <v>419</v>
      </c>
      <c r="B11" s="122" t="s">
        <v>420</v>
      </c>
      <c r="C11" s="122" t="s">
        <v>421</v>
      </c>
      <c r="D11" s="140"/>
      <c r="E11" s="140"/>
      <c r="F11" s="122">
        <v>1</v>
      </c>
      <c r="G11" s="140"/>
      <c r="H11" s="140"/>
    </row>
    <row r="12" spans="1:8">
      <c r="A12" s="124" t="s">
        <v>419</v>
      </c>
      <c r="B12" s="121" t="s">
        <v>420</v>
      </c>
      <c r="C12" s="121" t="s">
        <v>422</v>
      </c>
      <c r="D12" s="142"/>
      <c r="E12" s="142"/>
      <c r="F12" s="121">
        <v>4</v>
      </c>
      <c r="G12" s="142"/>
      <c r="H12" s="142"/>
    </row>
    <row r="13" spans="1:8">
      <c r="A13" s="123" t="s">
        <v>423</v>
      </c>
      <c r="B13" s="122" t="s">
        <v>424</v>
      </c>
      <c r="C13" s="122" t="s">
        <v>425</v>
      </c>
      <c r="D13" s="140"/>
      <c r="E13" s="140"/>
      <c r="F13" s="122">
        <v>1</v>
      </c>
      <c r="G13" s="140"/>
      <c r="H13" s="140"/>
    </row>
    <row r="14" spans="1:8">
      <c r="A14" s="124" t="s">
        <v>423</v>
      </c>
      <c r="B14" s="121" t="s">
        <v>424</v>
      </c>
      <c r="C14" s="121" t="s">
        <v>426</v>
      </c>
      <c r="D14" s="142"/>
      <c r="E14" s="142"/>
      <c r="F14" s="121">
        <v>2</v>
      </c>
      <c r="G14" s="142"/>
      <c r="H14" s="142"/>
    </row>
    <row r="15" spans="1:8">
      <c r="A15" s="123" t="s">
        <v>427</v>
      </c>
      <c r="B15" s="123" t="s">
        <v>428</v>
      </c>
      <c r="C15" s="123" t="s">
        <v>429</v>
      </c>
      <c r="D15" s="140"/>
      <c r="E15" s="140"/>
      <c r="F15" s="122">
        <v>0.25</v>
      </c>
      <c r="G15" s="140"/>
      <c r="H15" s="140"/>
    </row>
    <row r="16" spans="1:8">
      <c r="A16" s="124" t="s">
        <v>430</v>
      </c>
      <c r="B16" s="124" t="s">
        <v>431</v>
      </c>
      <c r="C16" s="121" t="s">
        <v>432</v>
      </c>
      <c r="D16" s="142"/>
      <c r="E16" s="142"/>
      <c r="F16" s="121">
        <v>0.25</v>
      </c>
      <c r="G16" s="142"/>
      <c r="H16" s="142"/>
    </row>
    <row r="17" spans="1:8">
      <c r="A17" s="122" t="s">
        <v>430</v>
      </c>
      <c r="B17" s="122" t="s">
        <v>433</v>
      </c>
      <c r="C17" s="122" t="s">
        <v>434</v>
      </c>
      <c r="D17" s="140"/>
      <c r="E17" s="140"/>
      <c r="F17" s="122">
        <v>0.3</v>
      </c>
      <c r="G17" s="140"/>
      <c r="H17" s="140"/>
    </row>
    <row r="18" spans="1:8">
      <c r="A18" s="124" t="s">
        <v>435</v>
      </c>
      <c r="B18" s="124" t="s">
        <v>436</v>
      </c>
      <c r="C18" s="121" t="s">
        <v>437</v>
      </c>
      <c r="D18" s="142"/>
      <c r="E18" s="142"/>
      <c r="F18" s="121">
        <v>1</v>
      </c>
      <c r="G18" s="142"/>
      <c r="H18" s="142"/>
    </row>
    <row r="19" spans="1:8">
      <c r="A19" s="122" t="s">
        <v>438</v>
      </c>
      <c r="B19" s="122" t="s">
        <v>439</v>
      </c>
      <c r="C19" s="122" t="s">
        <v>440</v>
      </c>
      <c r="D19" s="122"/>
      <c r="E19" s="122">
        <v>2.5000000000000001E-2</v>
      </c>
      <c r="F19" s="122">
        <v>2.5000000000000001E-2</v>
      </c>
      <c r="G19" s="140"/>
      <c r="H19" s="140"/>
    </row>
    <row r="20" spans="1:8">
      <c r="A20" s="121" t="s">
        <v>441</v>
      </c>
      <c r="B20" s="121" t="s">
        <v>442</v>
      </c>
      <c r="C20" s="121" t="s">
        <v>403</v>
      </c>
      <c r="D20" s="121"/>
      <c r="E20" s="121">
        <v>0.01</v>
      </c>
      <c r="F20" s="121">
        <v>0.01</v>
      </c>
      <c r="G20" s="142"/>
      <c r="H20" s="142"/>
    </row>
    <row r="21" spans="1:8">
      <c r="A21" s="123" t="s">
        <v>443</v>
      </c>
      <c r="B21" s="122" t="s">
        <v>444</v>
      </c>
      <c r="C21" s="122" t="s">
        <v>421</v>
      </c>
      <c r="D21" s="140">
        <v>0.3</v>
      </c>
      <c r="E21" s="140"/>
      <c r="F21" s="122">
        <v>0.3</v>
      </c>
      <c r="G21" s="140"/>
      <c r="H21" s="140"/>
    </row>
    <row r="22" spans="1:8">
      <c r="A22" s="124" t="s">
        <v>443</v>
      </c>
      <c r="B22" s="121" t="s">
        <v>444</v>
      </c>
      <c r="C22" s="121" t="s">
        <v>445</v>
      </c>
      <c r="D22" s="142">
        <v>0.35</v>
      </c>
      <c r="E22" s="142"/>
      <c r="F22" s="121">
        <v>0.35</v>
      </c>
      <c r="G22" s="142"/>
      <c r="H22" s="142"/>
    </row>
    <row r="23" spans="1:8">
      <c r="A23" s="123" t="s">
        <v>443</v>
      </c>
      <c r="B23" s="122" t="s">
        <v>446</v>
      </c>
      <c r="C23" s="122" t="s">
        <v>447</v>
      </c>
      <c r="D23" s="140"/>
      <c r="E23" s="140"/>
      <c r="F23" s="122">
        <v>0.2</v>
      </c>
      <c r="G23" s="140"/>
      <c r="H23" s="140"/>
    </row>
    <row r="24" spans="1:8">
      <c r="A24" s="124" t="s">
        <v>443</v>
      </c>
      <c r="B24" s="121" t="s">
        <v>446</v>
      </c>
      <c r="C24" s="121" t="s">
        <v>448</v>
      </c>
      <c r="D24" s="142"/>
      <c r="E24" s="142"/>
      <c r="F24" s="121">
        <v>0.35</v>
      </c>
      <c r="G24" s="142"/>
      <c r="H24" s="142"/>
    </row>
    <row r="25" spans="1:8">
      <c r="A25" s="123" t="s">
        <v>449</v>
      </c>
      <c r="B25" s="122" t="s">
        <v>450</v>
      </c>
      <c r="C25" s="122" t="s">
        <v>451</v>
      </c>
      <c r="D25" s="140">
        <v>0.15</v>
      </c>
      <c r="E25" s="140"/>
      <c r="F25" s="122">
        <v>0.5</v>
      </c>
      <c r="G25" s="140"/>
      <c r="H25" s="140"/>
    </row>
    <row r="26" spans="1:8">
      <c r="A26" s="124" t="s">
        <v>449</v>
      </c>
      <c r="B26" s="121" t="s">
        <v>450</v>
      </c>
      <c r="C26" s="121" t="s">
        <v>452</v>
      </c>
      <c r="D26" s="142">
        <v>0.35</v>
      </c>
      <c r="E26" s="142"/>
      <c r="F26" s="121">
        <v>0.35</v>
      </c>
      <c r="G26" s="142"/>
      <c r="H26" s="142"/>
    </row>
    <row r="27" spans="1:8">
      <c r="A27" s="123" t="s">
        <v>449</v>
      </c>
      <c r="B27" s="122" t="s">
        <v>450</v>
      </c>
      <c r="C27" s="122" t="s">
        <v>453</v>
      </c>
      <c r="D27" s="140">
        <v>1</v>
      </c>
      <c r="E27" s="140"/>
      <c r="F27" s="122">
        <v>1</v>
      </c>
      <c r="G27" s="140"/>
      <c r="H27" s="140"/>
    </row>
    <row r="28" spans="1:8">
      <c r="A28" s="124" t="s">
        <v>449</v>
      </c>
      <c r="B28" s="121" t="s">
        <v>454</v>
      </c>
      <c r="C28" s="121" t="s">
        <v>455</v>
      </c>
      <c r="D28" s="142"/>
      <c r="E28" s="142"/>
      <c r="F28" s="121">
        <v>0.25</v>
      </c>
      <c r="G28" s="142"/>
      <c r="H28" s="142"/>
    </row>
    <row r="29" spans="1:8">
      <c r="A29" s="123" t="s">
        <v>449</v>
      </c>
      <c r="B29" s="122" t="s">
        <v>454</v>
      </c>
      <c r="C29" s="122" t="s">
        <v>456</v>
      </c>
      <c r="D29" s="140"/>
      <c r="E29" s="140"/>
      <c r="F29" s="122">
        <v>0.35</v>
      </c>
      <c r="G29" s="140"/>
      <c r="H29" s="140"/>
    </row>
    <row r="30" spans="1:8">
      <c r="A30" s="124" t="s">
        <v>457</v>
      </c>
      <c r="B30" s="121" t="s">
        <v>458</v>
      </c>
      <c r="C30" s="121" t="s">
        <v>459</v>
      </c>
      <c r="D30" s="142">
        <v>0.35</v>
      </c>
      <c r="E30" s="142"/>
      <c r="F30" s="121">
        <v>0.35</v>
      </c>
      <c r="G30" s="142"/>
      <c r="H30" s="142"/>
    </row>
    <row r="31" spans="1:8">
      <c r="A31" s="123" t="s">
        <v>457</v>
      </c>
      <c r="B31" s="122" t="s">
        <v>458</v>
      </c>
      <c r="C31" s="122" t="s">
        <v>460</v>
      </c>
      <c r="D31" s="140">
        <v>0.5</v>
      </c>
      <c r="E31" s="140"/>
      <c r="F31" s="122">
        <v>1</v>
      </c>
      <c r="G31" s="140"/>
      <c r="H31" s="140"/>
    </row>
    <row r="32" spans="1:8">
      <c r="A32" s="124" t="s">
        <v>457</v>
      </c>
      <c r="B32" s="121" t="s">
        <v>458</v>
      </c>
      <c r="C32" s="121" t="s">
        <v>461</v>
      </c>
      <c r="D32" s="142">
        <v>1</v>
      </c>
      <c r="E32" s="142"/>
      <c r="F32" s="121">
        <v>1</v>
      </c>
      <c r="G32" s="142"/>
      <c r="H32" s="142"/>
    </row>
    <row r="33" spans="1:8">
      <c r="A33" s="123" t="s">
        <v>457</v>
      </c>
      <c r="B33" s="122" t="s">
        <v>462</v>
      </c>
      <c r="C33" s="122" t="s">
        <v>463</v>
      </c>
      <c r="D33" s="140"/>
      <c r="E33" s="140"/>
      <c r="F33" s="122">
        <v>0.5</v>
      </c>
      <c r="G33" s="140"/>
      <c r="H33" s="140"/>
    </row>
    <row r="34" spans="1:8">
      <c r="A34" s="124" t="s">
        <v>457</v>
      </c>
      <c r="B34" s="121" t="s">
        <v>462</v>
      </c>
      <c r="C34" s="121" t="s">
        <v>464</v>
      </c>
      <c r="D34" s="142"/>
      <c r="E34" s="142"/>
      <c r="F34" s="121">
        <v>0.35</v>
      </c>
      <c r="G34" s="142"/>
      <c r="H34" s="142"/>
    </row>
    <row r="35" spans="1:8">
      <c r="A35" s="123" t="s">
        <v>465</v>
      </c>
      <c r="B35" s="122" t="s">
        <v>466</v>
      </c>
      <c r="C35" s="122" t="s">
        <v>467</v>
      </c>
      <c r="D35" s="122">
        <v>0.35</v>
      </c>
      <c r="E35" s="122">
        <v>0.35</v>
      </c>
      <c r="F35" s="122">
        <v>7.0000000000000007E-2</v>
      </c>
      <c r="G35" s="140"/>
      <c r="H35" s="140"/>
    </row>
    <row r="36" spans="1:8">
      <c r="A36" s="124" t="s">
        <v>465</v>
      </c>
      <c r="B36" s="121" t="s">
        <v>466</v>
      </c>
      <c r="C36" s="121" t="s">
        <v>468</v>
      </c>
      <c r="D36" s="121">
        <v>0.5</v>
      </c>
      <c r="E36" s="121">
        <v>1</v>
      </c>
      <c r="F36" s="121">
        <v>0.15</v>
      </c>
      <c r="G36" s="142"/>
      <c r="H36" s="142"/>
    </row>
    <row r="37" spans="1:8">
      <c r="A37" s="123" t="s">
        <v>465</v>
      </c>
      <c r="B37" s="122" t="s">
        <v>466</v>
      </c>
      <c r="C37" s="122" t="s">
        <v>469</v>
      </c>
      <c r="D37" s="122">
        <v>1</v>
      </c>
      <c r="E37" s="122">
        <v>1</v>
      </c>
      <c r="F37" s="122">
        <v>0.2</v>
      </c>
      <c r="G37" s="140"/>
      <c r="H37" s="140"/>
    </row>
    <row r="38" spans="1:8">
      <c r="A38" s="124" t="s">
        <v>465</v>
      </c>
      <c r="B38" s="121" t="s">
        <v>470</v>
      </c>
      <c r="C38" s="121" t="s">
        <v>471</v>
      </c>
      <c r="D38" s="121"/>
      <c r="E38" s="121">
        <v>0.5</v>
      </c>
      <c r="F38" s="121">
        <v>0.05</v>
      </c>
      <c r="G38" s="142"/>
      <c r="H38" s="142"/>
    </row>
    <row r="39" spans="1:8">
      <c r="A39" s="123" t="s">
        <v>465</v>
      </c>
      <c r="B39" s="122" t="s">
        <v>470</v>
      </c>
      <c r="C39" s="122" t="s">
        <v>472</v>
      </c>
      <c r="D39" s="122"/>
      <c r="E39" s="122">
        <v>0.35</v>
      </c>
      <c r="F39" s="122">
        <v>3.5000000000000003E-2</v>
      </c>
      <c r="G39" s="140"/>
      <c r="H39" s="140"/>
    </row>
    <row r="40" spans="1:8">
      <c r="A40" s="121" t="s">
        <v>473</v>
      </c>
      <c r="B40" s="121" t="s">
        <v>474</v>
      </c>
      <c r="C40" s="121" t="s">
        <v>475</v>
      </c>
      <c r="D40" s="121">
        <v>0.25</v>
      </c>
      <c r="E40" s="121">
        <v>0.25</v>
      </c>
      <c r="F40" s="121">
        <v>0.05</v>
      </c>
      <c r="G40" s="142"/>
      <c r="H40" s="142"/>
    </row>
    <row r="41" spans="1:8">
      <c r="A41" s="122" t="s">
        <v>473</v>
      </c>
      <c r="B41" s="122" t="s">
        <v>474</v>
      </c>
      <c r="C41" s="122" t="s">
        <v>476</v>
      </c>
      <c r="D41" s="122">
        <v>0.5</v>
      </c>
      <c r="E41" s="122">
        <v>0.5</v>
      </c>
      <c r="F41" s="122">
        <v>0.05</v>
      </c>
      <c r="G41" s="140"/>
      <c r="H41" s="140"/>
    </row>
    <row r="42" spans="1:8">
      <c r="A42" s="121" t="s">
        <v>473</v>
      </c>
      <c r="B42" s="121" t="s">
        <v>477</v>
      </c>
      <c r="C42" s="121" t="s">
        <v>478</v>
      </c>
      <c r="D42" s="121"/>
      <c r="E42" s="121">
        <v>0.15</v>
      </c>
      <c r="F42" s="121">
        <v>1.4999999999999999E-2</v>
      </c>
      <c r="G42" s="142"/>
      <c r="H42" s="142"/>
    </row>
    <row r="43" spans="1:8">
      <c r="A43" s="122" t="s">
        <v>473</v>
      </c>
      <c r="B43" s="122" t="s">
        <v>477</v>
      </c>
      <c r="C43" s="122" t="s">
        <v>479</v>
      </c>
      <c r="D43" s="122"/>
      <c r="E43" s="122">
        <v>0.35</v>
      </c>
      <c r="F43" s="122">
        <v>3.5000000000000003E-2</v>
      </c>
      <c r="G43" s="140"/>
      <c r="H43" s="140"/>
    </row>
    <row r="44" spans="1:8">
      <c r="A44" s="124" t="s">
        <v>480</v>
      </c>
      <c r="B44" s="121" t="s">
        <v>481</v>
      </c>
      <c r="C44" s="121" t="s">
        <v>409</v>
      </c>
      <c r="D44" s="121">
        <v>0.15</v>
      </c>
      <c r="E44" s="121">
        <v>0.15</v>
      </c>
      <c r="F44" s="121">
        <v>0.03</v>
      </c>
      <c r="G44" s="142"/>
      <c r="H44" s="142"/>
    </row>
    <row r="45" spans="1:8">
      <c r="A45" s="123" t="s">
        <v>480</v>
      </c>
      <c r="B45" s="122" t="s">
        <v>481</v>
      </c>
      <c r="C45" s="122" t="s">
        <v>482</v>
      </c>
      <c r="D45" s="122">
        <v>0.35</v>
      </c>
      <c r="E45" s="122">
        <v>0.35</v>
      </c>
      <c r="F45" s="122">
        <v>7.0000000000000007E-2</v>
      </c>
      <c r="G45" s="140"/>
      <c r="H45" s="140"/>
    </row>
    <row r="46" spans="1:8">
      <c r="A46" s="124" t="s">
        <v>480</v>
      </c>
      <c r="B46" s="121" t="s">
        <v>481</v>
      </c>
      <c r="C46" s="121" t="s">
        <v>483</v>
      </c>
      <c r="D46" s="121">
        <v>1</v>
      </c>
      <c r="E46" s="121">
        <v>1</v>
      </c>
      <c r="F46" s="121">
        <v>0.2</v>
      </c>
      <c r="G46" s="142"/>
      <c r="H46" s="142"/>
    </row>
    <row r="47" spans="1:8">
      <c r="A47" s="123" t="s">
        <v>480</v>
      </c>
      <c r="B47" s="122" t="s">
        <v>484</v>
      </c>
      <c r="C47" s="122" t="s">
        <v>485</v>
      </c>
      <c r="D47" s="122"/>
      <c r="E47" s="122">
        <v>0.15</v>
      </c>
      <c r="F47" s="122">
        <v>1.4999999999999999E-2</v>
      </c>
      <c r="G47" s="140"/>
      <c r="H47" s="140"/>
    </row>
    <row r="48" spans="1:8">
      <c r="A48" s="124" t="s">
        <v>480</v>
      </c>
      <c r="B48" s="121" t="s">
        <v>484</v>
      </c>
      <c r="C48" s="121" t="s">
        <v>486</v>
      </c>
      <c r="D48" s="121"/>
      <c r="E48" s="121">
        <v>0.35</v>
      </c>
      <c r="F48" s="121">
        <v>3.5000000000000003E-2</v>
      </c>
      <c r="G48" s="142"/>
      <c r="H48" s="142"/>
    </row>
    <row r="49" spans="1:8">
      <c r="A49" s="123" t="s">
        <v>487</v>
      </c>
      <c r="B49" s="122" t="s">
        <v>488</v>
      </c>
      <c r="C49" s="122" t="s">
        <v>489</v>
      </c>
      <c r="D49" s="122">
        <v>2.5000000000000001E-2</v>
      </c>
      <c r="E49" s="122">
        <v>0.05</v>
      </c>
      <c r="F49" s="122">
        <v>7.4999999999999997E-3</v>
      </c>
      <c r="G49" s="140"/>
      <c r="H49" s="140"/>
    </row>
    <row r="50" spans="1:8">
      <c r="A50" s="124" t="s">
        <v>487</v>
      </c>
      <c r="B50" s="121" t="s">
        <v>488</v>
      </c>
      <c r="C50" s="121" t="s">
        <v>490</v>
      </c>
      <c r="D50" s="121">
        <v>0.35</v>
      </c>
      <c r="E50" s="121">
        <v>0.35</v>
      </c>
      <c r="F50" s="121">
        <v>7.0000000000000007E-2</v>
      </c>
      <c r="G50" s="142"/>
      <c r="H50" s="142"/>
    </row>
    <row r="51" spans="1:8">
      <c r="A51" s="123" t="s">
        <v>487</v>
      </c>
      <c r="B51" s="122" t="s">
        <v>488</v>
      </c>
      <c r="C51" s="122" t="s">
        <v>491</v>
      </c>
      <c r="D51" s="122"/>
      <c r="E51" s="122">
        <v>1</v>
      </c>
      <c r="F51" s="122">
        <v>0.1</v>
      </c>
      <c r="G51" s="140"/>
      <c r="H51" s="140"/>
    </row>
    <row r="52" spans="1:8">
      <c r="A52" s="124" t="s">
        <v>487</v>
      </c>
      <c r="B52" s="121" t="s">
        <v>488</v>
      </c>
      <c r="C52" s="121" t="s">
        <v>492</v>
      </c>
      <c r="D52" s="121"/>
      <c r="E52" s="121">
        <v>1</v>
      </c>
      <c r="F52" s="121">
        <v>1</v>
      </c>
      <c r="G52" s="142"/>
      <c r="H52" s="142"/>
    </row>
    <row r="53" spans="1:8">
      <c r="A53" s="123" t="s">
        <v>487</v>
      </c>
      <c r="B53" s="122" t="s">
        <v>488</v>
      </c>
      <c r="C53" s="122" t="s">
        <v>493</v>
      </c>
      <c r="D53" s="122">
        <v>0.5</v>
      </c>
      <c r="E53" s="122">
        <v>2</v>
      </c>
      <c r="F53" s="122">
        <v>0.25</v>
      </c>
      <c r="G53" s="140"/>
      <c r="H53" s="140"/>
    </row>
    <row r="54" spans="1:8">
      <c r="A54" s="124" t="s">
        <v>487</v>
      </c>
      <c r="B54" s="121" t="s">
        <v>488</v>
      </c>
      <c r="C54" s="121" t="s">
        <v>494</v>
      </c>
      <c r="D54" s="121"/>
      <c r="E54" s="121">
        <v>2</v>
      </c>
      <c r="F54" s="121">
        <v>2</v>
      </c>
      <c r="G54" s="142"/>
      <c r="H54" s="142"/>
    </row>
    <row r="55" spans="1:8">
      <c r="A55" s="123" t="s">
        <v>487</v>
      </c>
      <c r="B55" s="122" t="s">
        <v>495</v>
      </c>
      <c r="C55" s="122" t="s">
        <v>496</v>
      </c>
      <c r="D55" s="122"/>
      <c r="E55" s="122">
        <v>0.5</v>
      </c>
      <c r="F55" s="122">
        <v>0.05</v>
      </c>
      <c r="G55" s="140"/>
      <c r="H55" s="140"/>
    </row>
    <row r="56" spans="1:8">
      <c r="A56" s="124" t="s">
        <v>497</v>
      </c>
      <c r="B56" s="121" t="s">
        <v>498</v>
      </c>
      <c r="C56" s="121" t="s">
        <v>499</v>
      </c>
      <c r="D56" s="121">
        <v>0.35</v>
      </c>
      <c r="E56" s="142">
        <v>0.05</v>
      </c>
      <c r="F56" s="142"/>
      <c r="G56" s="142"/>
      <c r="H56" s="142"/>
    </row>
    <row r="57" spans="1:8">
      <c r="A57" s="123" t="s">
        <v>500</v>
      </c>
      <c r="B57" s="122" t="s">
        <v>501</v>
      </c>
      <c r="C57" s="122" t="s">
        <v>421</v>
      </c>
      <c r="D57" s="140"/>
      <c r="E57" s="140"/>
      <c r="F57" s="122">
        <v>0.3</v>
      </c>
      <c r="G57" s="140"/>
      <c r="H57" s="140"/>
    </row>
    <row r="58" spans="1:8">
      <c r="A58" s="124" t="s">
        <v>500</v>
      </c>
      <c r="B58" s="121" t="s">
        <v>501</v>
      </c>
      <c r="C58" s="121" t="s">
        <v>502</v>
      </c>
      <c r="D58" s="142"/>
      <c r="E58" s="142"/>
      <c r="F58" s="121">
        <v>0.35</v>
      </c>
      <c r="G58" s="142"/>
      <c r="H58" s="142"/>
    </row>
    <row r="59" spans="1:8" ht="15.75" customHeight="1">
      <c r="A59" s="123" t="s">
        <v>500</v>
      </c>
      <c r="B59" s="122" t="s">
        <v>501</v>
      </c>
      <c r="C59" s="122" t="s">
        <v>503</v>
      </c>
      <c r="D59" s="140"/>
      <c r="E59" s="140"/>
      <c r="F59" s="122">
        <v>1</v>
      </c>
      <c r="G59" s="140"/>
      <c r="H59" s="140"/>
    </row>
    <row r="60" spans="1:8">
      <c r="A60" s="124" t="s">
        <v>500</v>
      </c>
      <c r="B60" s="121" t="s">
        <v>504</v>
      </c>
      <c r="C60" s="121" t="s">
        <v>447</v>
      </c>
      <c r="D60" s="142"/>
      <c r="E60" s="142"/>
      <c r="F60" s="121">
        <v>0.15</v>
      </c>
      <c r="G60" s="142"/>
      <c r="H60" s="142"/>
    </row>
    <row r="61" spans="1:8">
      <c r="A61" s="123" t="s">
        <v>500</v>
      </c>
      <c r="B61" s="122" t="s">
        <v>504</v>
      </c>
      <c r="C61" s="122" t="s">
        <v>505</v>
      </c>
      <c r="D61" s="140"/>
      <c r="E61" s="140"/>
      <c r="F61" s="122">
        <v>0.35</v>
      </c>
      <c r="G61" s="140"/>
      <c r="H61" s="140"/>
    </row>
    <row r="62" spans="1:8">
      <c r="A62" s="124" t="s">
        <v>500</v>
      </c>
      <c r="B62" s="121" t="s">
        <v>504</v>
      </c>
      <c r="C62" s="121" t="s">
        <v>506</v>
      </c>
      <c r="D62" s="142"/>
      <c r="E62" s="142"/>
      <c r="F62" s="121">
        <v>1</v>
      </c>
      <c r="G62" s="142"/>
      <c r="H62" s="142"/>
    </row>
    <row r="63" spans="1:8">
      <c r="A63" s="122" t="s">
        <v>507</v>
      </c>
      <c r="B63" s="122" t="s">
        <v>508</v>
      </c>
      <c r="C63" s="122" t="s">
        <v>509</v>
      </c>
      <c r="D63" s="140">
        <v>0.35</v>
      </c>
      <c r="E63" s="140"/>
      <c r="F63" s="122">
        <v>3.5000000000000003E-2</v>
      </c>
      <c r="G63" s="140"/>
      <c r="H63" s="140"/>
    </row>
    <row r="64" spans="1:8">
      <c r="A64" s="121" t="s">
        <v>507</v>
      </c>
      <c r="B64" s="121" t="s">
        <v>508</v>
      </c>
      <c r="C64" s="121" t="s">
        <v>421</v>
      </c>
      <c r="D64" s="142">
        <v>0.5</v>
      </c>
      <c r="E64" s="142"/>
      <c r="F64" s="121">
        <v>0.05</v>
      </c>
      <c r="G64" s="142"/>
      <c r="H64" s="142"/>
    </row>
    <row r="65" spans="1:8">
      <c r="A65" s="122" t="s">
        <v>507</v>
      </c>
      <c r="B65" s="122" t="s">
        <v>508</v>
      </c>
      <c r="C65" s="122" t="s">
        <v>510</v>
      </c>
      <c r="D65" s="140">
        <v>1</v>
      </c>
      <c r="E65" s="140"/>
      <c r="F65" s="122">
        <v>0.1</v>
      </c>
      <c r="G65" s="140"/>
      <c r="H65" s="140"/>
    </row>
    <row r="66" spans="1:8">
      <c r="A66" s="124" t="s">
        <v>473</v>
      </c>
      <c r="B66" s="121" t="s">
        <v>511</v>
      </c>
      <c r="C66" s="121" t="s">
        <v>512</v>
      </c>
      <c r="D66" s="121"/>
      <c r="E66" s="121">
        <v>0.25</v>
      </c>
      <c r="F66" s="121">
        <v>0.02</v>
      </c>
      <c r="G66" s="142"/>
      <c r="H66" s="142"/>
    </row>
    <row r="67" spans="1:8">
      <c r="A67" s="123" t="s">
        <v>473</v>
      </c>
      <c r="B67" s="122" t="s">
        <v>511</v>
      </c>
      <c r="C67" s="122" t="s">
        <v>513</v>
      </c>
      <c r="D67" s="122"/>
      <c r="E67" s="122">
        <v>0.35</v>
      </c>
      <c r="F67" s="122">
        <v>7.0000000000000007E-2</v>
      </c>
      <c r="G67" s="140"/>
      <c r="H67" s="140"/>
    </row>
    <row r="68" spans="1:8">
      <c r="A68" s="124" t="s">
        <v>473</v>
      </c>
      <c r="B68" s="121" t="s">
        <v>511</v>
      </c>
      <c r="C68" s="121" t="s">
        <v>514</v>
      </c>
      <c r="D68" s="121"/>
      <c r="E68" s="121">
        <v>1</v>
      </c>
      <c r="F68" s="121">
        <v>0.2</v>
      </c>
      <c r="G68" s="142"/>
      <c r="H68" s="142"/>
    </row>
    <row r="69" spans="1:8">
      <c r="A69" s="123" t="s">
        <v>473</v>
      </c>
      <c r="B69" s="122" t="s">
        <v>515</v>
      </c>
      <c r="C69" s="122" t="s">
        <v>516</v>
      </c>
      <c r="D69" s="122"/>
      <c r="E69" s="122">
        <v>0.1</v>
      </c>
      <c r="F69" s="122">
        <v>0.01</v>
      </c>
      <c r="G69" s="140"/>
      <c r="H69" s="140"/>
    </row>
    <row r="70" spans="1:8">
      <c r="A70" s="124" t="s">
        <v>473</v>
      </c>
      <c r="B70" s="121" t="s">
        <v>515</v>
      </c>
      <c r="C70" s="121" t="s">
        <v>517</v>
      </c>
      <c r="D70" s="121"/>
      <c r="E70" s="121">
        <v>0.35</v>
      </c>
      <c r="F70" s="121">
        <v>3.5000000000000003E-2</v>
      </c>
      <c r="G70" s="142"/>
      <c r="H70" s="142"/>
    </row>
    <row r="71" spans="1:8">
      <c r="A71" s="122" t="s">
        <v>473</v>
      </c>
      <c r="B71" s="122" t="s">
        <v>518</v>
      </c>
      <c r="C71" s="122" t="s">
        <v>512</v>
      </c>
      <c r="D71" s="122"/>
      <c r="E71" s="122">
        <v>0.05</v>
      </c>
      <c r="F71" s="122">
        <v>0.05</v>
      </c>
      <c r="G71" s="140"/>
      <c r="H71" s="140"/>
    </row>
    <row r="72" spans="1:8">
      <c r="A72" s="121" t="s">
        <v>473</v>
      </c>
      <c r="B72" s="121" t="s">
        <v>518</v>
      </c>
      <c r="C72" s="121" t="s">
        <v>519</v>
      </c>
      <c r="D72" s="121"/>
      <c r="E72" s="121">
        <v>0.35</v>
      </c>
      <c r="F72" s="121">
        <v>3.5000000000000003E-2</v>
      </c>
      <c r="G72" s="142"/>
      <c r="H72" s="142"/>
    </row>
    <row r="73" spans="1:8">
      <c r="A73" s="122" t="s">
        <v>473</v>
      </c>
      <c r="B73" s="122" t="s">
        <v>518</v>
      </c>
      <c r="C73" s="122" t="s">
        <v>520</v>
      </c>
      <c r="D73" s="122"/>
      <c r="E73" s="122">
        <v>1</v>
      </c>
      <c r="F73" s="122">
        <v>0.1</v>
      </c>
      <c r="G73" s="140"/>
      <c r="H73" s="140"/>
    </row>
    <row r="74" spans="1:8">
      <c r="A74" s="124" t="s">
        <v>521</v>
      </c>
      <c r="B74" s="121" t="s">
        <v>522</v>
      </c>
      <c r="C74" s="121" t="s">
        <v>523</v>
      </c>
      <c r="D74" s="121">
        <v>2.5000000000000001E-2</v>
      </c>
      <c r="E74" s="121">
        <v>0.05</v>
      </c>
      <c r="F74" s="121">
        <v>7.4999999999999997E-3</v>
      </c>
      <c r="G74" s="142"/>
      <c r="H74" s="142"/>
    </row>
    <row r="75" spans="1:8">
      <c r="A75" s="123" t="s">
        <v>521</v>
      </c>
      <c r="B75" s="122" t="s">
        <v>522</v>
      </c>
      <c r="C75" s="122" t="s">
        <v>524</v>
      </c>
      <c r="D75" s="122">
        <v>0.35</v>
      </c>
      <c r="E75" s="122">
        <v>0.35</v>
      </c>
      <c r="F75" s="122">
        <v>7.0000000000000007E-2</v>
      </c>
      <c r="G75" s="140"/>
      <c r="H75" s="140"/>
    </row>
    <row r="76" spans="1:8">
      <c r="A76" s="124" t="s">
        <v>521</v>
      </c>
      <c r="B76" s="121" t="s">
        <v>522</v>
      </c>
      <c r="C76" s="121" t="s">
        <v>525</v>
      </c>
      <c r="D76" s="121">
        <v>1</v>
      </c>
      <c r="E76" s="121">
        <v>1</v>
      </c>
      <c r="F76" s="121">
        <v>0.2</v>
      </c>
      <c r="G76" s="142"/>
      <c r="H76" s="142"/>
    </row>
    <row r="77" spans="1:8">
      <c r="A77" s="123" t="s">
        <v>521</v>
      </c>
      <c r="B77" s="122" t="s">
        <v>526</v>
      </c>
      <c r="C77" s="122" t="s">
        <v>527</v>
      </c>
      <c r="D77" s="122"/>
      <c r="E77" s="122">
        <v>0.05</v>
      </c>
      <c r="F77" s="122">
        <v>5.0000000000000001E-3</v>
      </c>
      <c r="G77" s="140"/>
      <c r="H77" s="140"/>
    </row>
    <row r="78" spans="1:8">
      <c r="A78" s="124" t="s">
        <v>521</v>
      </c>
      <c r="B78" s="121" t="s">
        <v>526</v>
      </c>
      <c r="C78" s="121" t="s">
        <v>528</v>
      </c>
      <c r="D78" s="121"/>
      <c r="E78" s="121">
        <v>0.35</v>
      </c>
      <c r="F78" s="121">
        <v>3.5000000000000003E-2</v>
      </c>
      <c r="G78" s="142"/>
      <c r="H78" s="142"/>
    </row>
    <row r="79" spans="1:8">
      <c r="A79" s="123" t="s">
        <v>521</v>
      </c>
      <c r="B79" s="122" t="s">
        <v>529</v>
      </c>
      <c r="C79" s="122" t="s">
        <v>530</v>
      </c>
      <c r="D79" s="122">
        <v>2.5000000000000001E-2</v>
      </c>
      <c r="E79" s="122">
        <v>0.05</v>
      </c>
      <c r="F79" s="122">
        <v>7.4999999999999997E-3</v>
      </c>
      <c r="G79" s="140"/>
      <c r="H79" s="140"/>
    </row>
    <row r="80" spans="1:8">
      <c r="A80" s="124" t="s">
        <v>521</v>
      </c>
      <c r="B80" s="121" t="s">
        <v>529</v>
      </c>
      <c r="C80" s="121" t="s">
        <v>531</v>
      </c>
      <c r="D80" s="121">
        <v>0.35</v>
      </c>
      <c r="E80" s="121">
        <v>0.35</v>
      </c>
      <c r="F80" s="121">
        <v>7.0000000000000007E-2</v>
      </c>
      <c r="G80" s="142"/>
      <c r="H80" s="142"/>
    </row>
    <row r="81" spans="1:8">
      <c r="A81" s="123" t="s">
        <v>521</v>
      </c>
      <c r="B81" s="122" t="s">
        <v>529</v>
      </c>
      <c r="C81" s="122" t="s">
        <v>532</v>
      </c>
      <c r="D81" s="122">
        <v>1</v>
      </c>
      <c r="E81" s="122">
        <v>1</v>
      </c>
      <c r="F81" s="122">
        <v>0.2</v>
      </c>
      <c r="G81" s="140"/>
      <c r="H81" s="140"/>
    </row>
    <row r="82" spans="1:8">
      <c r="A82" s="124" t="s">
        <v>521</v>
      </c>
      <c r="B82" s="121" t="s">
        <v>533</v>
      </c>
      <c r="C82" s="121" t="s">
        <v>534</v>
      </c>
      <c r="D82" s="121"/>
      <c r="E82" s="121">
        <v>0.05</v>
      </c>
      <c r="F82" s="121">
        <v>5.0000000000000001E-3</v>
      </c>
      <c r="G82" s="142"/>
      <c r="H82" s="142"/>
    </row>
    <row r="83" spans="1:8">
      <c r="A83" s="123" t="s">
        <v>521</v>
      </c>
      <c r="B83" s="122" t="s">
        <v>533</v>
      </c>
      <c r="C83" s="122" t="s">
        <v>535</v>
      </c>
      <c r="D83" s="122"/>
      <c r="E83" s="122">
        <v>0.35</v>
      </c>
      <c r="F83" s="122">
        <v>3.5000000000000003E-2</v>
      </c>
      <c r="G83" s="140"/>
      <c r="H83" s="140"/>
    </row>
    <row r="84" spans="1:8">
      <c r="A84" s="124" t="s">
        <v>521</v>
      </c>
      <c r="B84" s="121" t="s">
        <v>536</v>
      </c>
      <c r="C84" s="121" t="s">
        <v>537</v>
      </c>
      <c r="D84" s="121">
        <v>2.5000000000000001E-2</v>
      </c>
      <c r="E84" s="121">
        <v>0.05</v>
      </c>
      <c r="F84" s="121">
        <v>7.4999999999999997E-3</v>
      </c>
      <c r="G84" s="142"/>
      <c r="H84" s="142"/>
    </row>
    <row r="85" spans="1:8">
      <c r="A85" s="123" t="s">
        <v>521</v>
      </c>
      <c r="B85" s="122" t="s">
        <v>536</v>
      </c>
      <c r="C85" s="122" t="s">
        <v>538</v>
      </c>
      <c r="D85" s="122">
        <v>0.35</v>
      </c>
      <c r="E85" s="122">
        <v>0.35</v>
      </c>
      <c r="F85" s="122">
        <v>7.0000000000000007E-2</v>
      </c>
      <c r="G85" s="140"/>
      <c r="H85" s="140"/>
    </row>
    <row r="86" spans="1:8">
      <c r="A86" s="124" t="s">
        <v>521</v>
      </c>
      <c r="B86" s="121" t="s">
        <v>536</v>
      </c>
      <c r="C86" s="121" t="s">
        <v>539</v>
      </c>
      <c r="D86" s="121">
        <v>1</v>
      </c>
      <c r="E86" s="121">
        <v>1</v>
      </c>
      <c r="F86" s="121">
        <v>0.2</v>
      </c>
      <c r="G86" s="142"/>
      <c r="H86" s="142"/>
    </row>
    <row r="87" spans="1:8">
      <c r="A87" s="123" t="s">
        <v>521</v>
      </c>
      <c r="B87" s="122" t="s">
        <v>540</v>
      </c>
      <c r="C87" s="122" t="s">
        <v>541</v>
      </c>
      <c r="D87" s="122"/>
      <c r="E87" s="122">
        <v>0.05</v>
      </c>
      <c r="F87" s="122">
        <v>5.0000000000000001E-3</v>
      </c>
      <c r="G87" s="140"/>
      <c r="H87" s="140"/>
    </row>
    <row r="88" spans="1:8">
      <c r="A88" s="124" t="s">
        <v>521</v>
      </c>
      <c r="B88" s="121" t="s">
        <v>540</v>
      </c>
      <c r="C88" s="121" t="s">
        <v>542</v>
      </c>
      <c r="D88" s="121"/>
      <c r="E88" s="121">
        <v>0.35</v>
      </c>
      <c r="F88" s="121">
        <v>3.5000000000000003E-2</v>
      </c>
      <c r="G88" s="142"/>
      <c r="H88" s="142"/>
    </row>
    <row r="89" spans="1:8">
      <c r="A89" s="123" t="s">
        <v>521</v>
      </c>
      <c r="B89" s="122" t="s">
        <v>543</v>
      </c>
      <c r="C89" s="122" t="s">
        <v>544</v>
      </c>
      <c r="D89" s="122">
        <v>2.5000000000000001E-2</v>
      </c>
      <c r="E89" s="122">
        <v>0.05</v>
      </c>
      <c r="F89" s="122">
        <v>7.4999999999999997E-3</v>
      </c>
      <c r="G89" s="140"/>
      <c r="H89" s="140"/>
    </row>
    <row r="90" spans="1:8">
      <c r="A90" s="124" t="s">
        <v>521</v>
      </c>
      <c r="B90" s="121" t="s">
        <v>543</v>
      </c>
      <c r="C90" s="121" t="s">
        <v>545</v>
      </c>
      <c r="D90" s="121">
        <v>0.35</v>
      </c>
      <c r="E90" s="121">
        <v>0.35</v>
      </c>
      <c r="F90" s="121">
        <v>7.0000000000000007E-2</v>
      </c>
      <c r="G90" s="142"/>
      <c r="H90" s="142"/>
    </row>
    <row r="91" spans="1:8">
      <c r="A91" s="123" t="s">
        <v>521</v>
      </c>
      <c r="B91" s="122" t="s">
        <v>543</v>
      </c>
      <c r="C91" s="122" t="s">
        <v>546</v>
      </c>
      <c r="D91" s="122">
        <v>1</v>
      </c>
      <c r="E91" s="122">
        <v>1</v>
      </c>
      <c r="F91" s="122">
        <v>0.2</v>
      </c>
      <c r="G91" s="140"/>
      <c r="H91" s="140"/>
    </row>
    <row r="92" spans="1:8">
      <c r="A92" s="124" t="s">
        <v>521</v>
      </c>
      <c r="B92" s="121" t="s">
        <v>547</v>
      </c>
      <c r="C92" s="121" t="s">
        <v>548</v>
      </c>
      <c r="D92" s="121"/>
      <c r="E92" s="121">
        <v>0.05</v>
      </c>
      <c r="F92" s="121">
        <v>5.0000000000000001E-3</v>
      </c>
      <c r="G92" s="142"/>
      <c r="H92" s="142"/>
    </row>
    <row r="93" spans="1:8">
      <c r="A93" s="123" t="s">
        <v>521</v>
      </c>
      <c r="B93" s="122" t="s">
        <v>547</v>
      </c>
      <c r="C93" s="122" t="s">
        <v>549</v>
      </c>
      <c r="D93" s="122"/>
      <c r="E93" s="122">
        <v>0.35</v>
      </c>
      <c r="F93" s="122">
        <v>3.5000000000000003E-2</v>
      </c>
      <c r="G93" s="140"/>
      <c r="H93" s="140"/>
    </row>
    <row r="94" spans="1:8">
      <c r="A94" s="124" t="s">
        <v>550</v>
      </c>
      <c r="B94" s="121" t="s">
        <v>551</v>
      </c>
      <c r="C94" s="121" t="s">
        <v>552</v>
      </c>
      <c r="D94" s="121">
        <v>0.1</v>
      </c>
      <c r="E94" s="121">
        <v>0.25</v>
      </c>
      <c r="F94" s="121">
        <v>3.5000000000000003E-2</v>
      </c>
      <c r="G94" s="142"/>
      <c r="H94" s="142"/>
    </row>
    <row r="95" spans="1:8">
      <c r="A95" s="123" t="s">
        <v>550</v>
      </c>
      <c r="B95" s="122" t="s">
        <v>551</v>
      </c>
      <c r="C95" s="122" t="s">
        <v>553</v>
      </c>
      <c r="D95" s="122">
        <v>0.35</v>
      </c>
      <c r="E95" s="122">
        <v>0.35</v>
      </c>
      <c r="F95" s="122">
        <v>7.0000000000000007E-2</v>
      </c>
      <c r="G95" s="140"/>
      <c r="H95" s="140"/>
    </row>
    <row r="96" spans="1:8">
      <c r="A96" s="124" t="s">
        <v>550</v>
      </c>
      <c r="B96" s="121" t="s">
        <v>551</v>
      </c>
      <c r="C96" s="121" t="s">
        <v>554</v>
      </c>
      <c r="D96" s="121">
        <v>1</v>
      </c>
      <c r="E96" s="121">
        <v>1</v>
      </c>
      <c r="F96" s="121">
        <v>0.2</v>
      </c>
      <c r="G96" s="142"/>
      <c r="H96" s="142"/>
    </row>
    <row r="97" spans="1:8">
      <c r="A97" s="123" t="s">
        <v>555</v>
      </c>
      <c r="B97" s="122" t="s">
        <v>556</v>
      </c>
      <c r="C97" s="122" t="s">
        <v>557</v>
      </c>
      <c r="D97" s="140">
        <v>0.05</v>
      </c>
      <c r="E97" s="140"/>
      <c r="F97" s="122">
        <v>0.05</v>
      </c>
      <c r="G97" s="140"/>
      <c r="H97" s="140"/>
    </row>
    <row r="98" spans="1:8">
      <c r="A98" s="124" t="s">
        <v>555</v>
      </c>
      <c r="B98" s="121" t="s">
        <v>556</v>
      </c>
      <c r="C98" s="121" t="s">
        <v>558</v>
      </c>
      <c r="D98" s="142">
        <v>0.35</v>
      </c>
      <c r="E98" s="142"/>
      <c r="F98" s="121">
        <v>0.35</v>
      </c>
      <c r="G98" s="142"/>
      <c r="H98" s="142"/>
    </row>
    <row r="99" spans="1:8">
      <c r="A99" s="123" t="s">
        <v>555</v>
      </c>
      <c r="B99" s="122" t="s">
        <v>556</v>
      </c>
      <c r="C99" s="122" t="s">
        <v>559</v>
      </c>
      <c r="D99" s="140">
        <v>1</v>
      </c>
      <c r="E99" s="140"/>
      <c r="F99" s="122">
        <v>1</v>
      </c>
      <c r="G99" s="140"/>
      <c r="H99" s="140"/>
    </row>
    <row r="100" spans="1:8">
      <c r="A100" s="121" t="s">
        <v>560</v>
      </c>
      <c r="B100" s="121" t="s">
        <v>561</v>
      </c>
      <c r="C100" s="121" t="s">
        <v>562</v>
      </c>
      <c r="D100" s="142">
        <v>0.05</v>
      </c>
      <c r="E100" s="142"/>
      <c r="F100" s="121">
        <v>0.05</v>
      </c>
      <c r="G100" s="142"/>
      <c r="H100" s="142"/>
    </row>
    <row r="101" spans="1:8">
      <c r="A101" s="122" t="s">
        <v>560</v>
      </c>
      <c r="B101" s="122" t="s">
        <v>561</v>
      </c>
      <c r="C101" s="122" t="s">
        <v>563</v>
      </c>
      <c r="D101" s="140">
        <v>0.35</v>
      </c>
      <c r="E101" s="140"/>
      <c r="F101" s="122">
        <v>0.35</v>
      </c>
      <c r="G101" s="140"/>
      <c r="H101" s="140"/>
    </row>
    <row r="102" spans="1:8">
      <c r="A102" s="121" t="s">
        <v>560</v>
      </c>
      <c r="B102" s="121" t="s">
        <v>561</v>
      </c>
      <c r="C102" s="121" t="s">
        <v>564</v>
      </c>
      <c r="D102" s="142">
        <v>1</v>
      </c>
      <c r="E102" s="142"/>
      <c r="F102" s="121">
        <v>1</v>
      </c>
      <c r="G102" s="142"/>
      <c r="H102" s="142"/>
    </row>
    <row r="103" spans="1:8">
      <c r="A103" s="122" t="s">
        <v>565</v>
      </c>
      <c r="B103" s="122" t="s">
        <v>566</v>
      </c>
      <c r="C103" s="122" t="s">
        <v>421</v>
      </c>
      <c r="D103" s="122"/>
      <c r="E103" s="122">
        <v>0.1</v>
      </c>
      <c r="F103" s="122">
        <v>0.01</v>
      </c>
      <c r="G103" s="140"/>
      <c r="H103" s="140"/>
    </row>
    <row r="104" spans="1:8">
      <c r="A104" s="121" t="s">
        <v>565</v>
      </c>
      <c r="B104" s="121" t="s">
        <v>566</v>
      </c>
      <c r="C104" s="121" t="s">
        <v>567</v>
      </c>
      <c r="D104" s="121"/>
      <c r="E104" s="121">
        <v>1</v>
      </c>
      <c r="F104" s="121">
        <v>0.1</v>
      </c>
      <c r="G104" s="142"/>
      <c r="H104" s="142"/>
    </row>
    <row r="105" spans="1:8">
      <c r="A105" s="123" t="s">
        <v>568</v>
      </c>
      <c r="B105" s="122" t="s">
        <v>569</v>
      </c>
      <c r="C105" s="122" t="s">
        <v>570</v>
      </c>
      <c r="D105" s="140"/>
      <c r="E105" s="140"/>
      <c r="F105" s="122">
        <v>1</v>
      </c>
      <c r="G105" s="140"/>
      <c r="H105" s="140"/>
    </row>
    <row r="106" spans="1:8">
      <c r="A106" s="124" t="s">
        <v>568</v>
      </c>
      <c r="B106" s="121" t="s">
        <v>569</v>
      </c>
      <c r="C106" s="121" t="s">
        <v>571</v>
      </c>
      <c r="D106" s="142"/>
      <c r="E106" s="142"/>
      <c r="F106" s="121">
        <v>1</v>
      </c>
      <c r="G106" s="142"/>
      <c r="H106" s="142"/>
    </row>
    <row r="107" spans="1:8">
      <c r="A107" s="123" t="s">
        <v>497</v>
      </c>
      <c r="B107" s="122" t="s">
        <v>498</v>
      </c>
      <c r="C107" s="122" t="s">
        <v>572</v>
      </c>
      <c r="D107" s="122">
        <v>0.35</v>
      </c>
      <c r="E107" s="140">
        <v>0.05</v>
      </c>
      <c r="F107" s="140"/>
      <c r="G107" s="140"/>
      <c r="H107" s="140"/>
    </row>
    <row r="108" spans="1:8">
      <c r="A108" s="124" t="s">
        <v>473</v>
      </c>
      <c r="B108" s="121" t="s">
        <v>573</v>
      </c>
      <c r="C108" s="121" t="s">
        <v>574</v>
      </c>
      <c r="D108" s="121"/>
      <c r="E108" s="121">
        <v>0.25</v>
      </c>
      <c r="F108" s="121">
        <v>2.5000000000000001E-2</v>
      </c>
      <c r="G108" s="142"/>
      <c r="H108" s="142"/>
    </row>
    <row r="109" spans="1:8">
      <c r="A109" s="123" t="s">
        <v>473</v>
      </c>
      <c r="B109" s="122" t="s">
        <v>573</v>
      </c>
      <c r="C109" s="122" t="s">
        <v>575</v>
      </c>
      <c r="D109" s="122"/>
      <c r="E109" s="122">
        <v>1</v>
      </c>
      <c r="F109" s="122">
        <v>0.1</v>
      </c>
      <c r="G109" s="140"/>
      <c r="H109" s="140"/>
    </row>
    <row r="110" spans="1:8">
      <c r="A110" s="124" t="s">
        <v>473</v>
      </c>
      <c r="B110" s="121" t="s">
        <v>576</v>
      </c>
      <c r="C110" s="121" t="s">
        <v>577</v>
      </c>
      <c r="D110" s="121"/>
      <c r="E110" s="121">
        <v>0.05</v>
      </c>
      <c r="F110" s="121">
        <v>5.0000000000000001E-3</v>
      </c>
      <c r="G110" s="142"/>
      <c r="H110" s="142"/>
    </row>
    <row r="111" spans="1:8">
      <c r="A111" s="123" t="s">
        <v>473</v>
      </c>
      <c r="B111" s="122" t="s">
        <v>576</v>
      </c>
      <c r="C111" s="122" t="s">
        <v>578</v>
      </c>
      <c r="D111" s="122"/>
      <c r="E111" s="122">
        <v>1</v>
      </c>
      <c r="F111" s="122">
        <v>0.1</v>
      </c>
      <c r="G111" s="140"/>
      <c r="H111" s="140"/>
    </row>
    <row r="112" spans="1:8">
      <c r="A112" s="124" t="s">
        <v>579</v>
      </c>
      <c r="B112" s="121" t="s">
        <v>580</v>
      </c>
      <c r="C112" s="121" t="s">
        <v>581</v>
      </c>
      <c r="D112" s="121"/>
      <c r="E112" s="121">
        <v>0.1</v>
      </c>
      <c r="F112" s="121">
        <v>0.1</v>
      </c>
      <c r="G112" s="142"/>
      <c r="H112" s="142"/>
    </row>
    <row r="113" spans="1:8">
      <c r="A113" s="123" t="s">
        <v>579</v>
      </c>
      <c r="B113" s="122" t="s">
        <v>580</v>
      </c>
      <c r="C113" s="122" t="s">
        <v>582</v>
      </c>
      <c r="D113" s="122">
        <v>1</v>
      </c>
      <c r="E113" s="122">
        <v>1</v>
      </c>
      <c r="F113" s="122">
        <v>0.2</v>
      </c>
      <c r="G113" s="140"/>
      <c r="H113" s="140"/>
    </row>
    <row r="114" spans="1:8">
      <c r="A114" s="124" t="s">
        <v>579</v>
      </c>
      <c r="B114" s="121" t="s">
        <v>580</v>
      </c>
      <c r="C114" s="121" t="s">
        <v>583</v>
      </c>
      <c r="D114" s="121"/>
      <c r="E114" s="121">
        <v>2</v>
      </c>
      <c r="F114" s="121">
        <v>2</v>
      </c>
      <c r="G114" s="142"/>
      <c r="H114" s="142"/>
    </row>
    <row r="115" spans="1:8">
      <c r="A115" s="123" t="s">
        <v>584</v>
      </c>
      <c r="B115" s="122" t="s">
        <v>585</v>
      </c>
      <c r="C115" s="122" t="s">
        <v>586</v>
      </c>
      <c r="D115" s="140"/>
      <c r="E115" s="140"/>
      <c r="F115" s="122">
        <v>1</v>
      </c>
      <c r="G115" s="140"/>
      <c r="H115" s="140"/>
    </row>
    <row r="116" spans="1:8">
      <c r="A116" s="124" t="s">
        <v>584</v>
      </c>
      <c r="B116" s="121" t="s">
        <v>585</v>
      </c>
      <c r="C116" s="121" t="s">
        <v>587</v>
      </c>
      <c r="D116" s="142"/>
      <c r="E116" s="142"/>
      <c r="F116" s="121">
        <v>1</v>
      </c>
      <c r="G116" s="142"/>
      <c r="H116" s="142"/>
    </row>
    <row r="117" spans="1:8">
      <c r="A117" s="123" t="s">
        <v>584</v>
      </c>
      <c r="B117" s="122" t="s">
        <v>585</v>
      </c>
      <c r="C117" s="122" t="s">
        <v>588</v>
      </c>
      <c r="D117" s="140"/>
      <c r="E117" s="140"/>
      <c r="F117" s="122">
        <v>1</v>
      </c>
      <c r="G117" s="140"/>
      <c r="H117" s="140"/>
    </row>
    <row r="118" spans="1:8">
      <c r="A118" s="124" t="s">
        <v>589</v>
      </c>
      <c r="B118" s="121" t="s">
        <v>590</v>
      </c>
      <c r="C118" s="121" t="s">
        <v>591</v>
      </c>
      <c r="D118" s="142"/>
      <c r="E118" s="142"/>
      <c r="F118" s="121">
        <v>1</v>
      </c>
      <c r="G118" s="142"/>
      <c r="H118" s="142"/>
    </row>
    <row r="119" spans="1:8">
      <c r="A119" s="123" t="s">
        <v>589</v>
      </c>
      <c r="B119" s="122" t="s">
        <v>590</v>
      </c>
      <c r="C119" s="122" t="s">
        <v>592</v>
      </c>
      <c r="D119" s="140"/>
      <c r="E119" s="140"/>
      <c r="F119" s="122">
        <v>1</v>
      </c>
      <c r="G119" s="140"/>
      <c r="H119" s="140"/>
    </row>
    <row r="120" spans="1:8">
      <c r="A120" s="124" t="s">
        <v>593</v>
      </c>
      <c r="B120" s="121" t="s">
        <v>594</v>
      </c>
      <c r="C120" s="121" t="s">
        <v>595</v>
      </c>
      <c r="D120" s="142"/>
      <c r="E120" s="142"/>
      <c r="F120" s="121">
        <v>1</v>
      </c>
      <c r="G120" s="142"/>
      <c r="H120" s="142"/>
    </row>
    <row r="121" spans="1:8">
      <c r="A121" s="122" t="s">
        <v>593</v>
      </c>
      <c r="B121" s="122" t="s">
        <v>594</v>
      </c>
      <c r="C121" s="122" t="s">
        <v>596</v>
      </c>
      <c r="D121" s="140"/>
      <c r="E121" s="140"/>
      <c r="F121" s="122">
        <v>1</v>
      </c>
      <c r="G121" s="140"/>
      <c r="H121" s="140"/>
    </row>
    <row r="122" spans="1:8">
      <c r="A122" s="121" t="s">
        <v>593</v>
      </c>
      <c r="B122" s="121" t="s">
        <v>597</v>
      </c>
      <c r="C122" s="121" t="s">
        <v>598</v>
      </c>
      <c r="D122" s="142"/>
      <c r="E122" s="142"/>
      <c r="F122" s="121">
        <v>1</v>
      </c>
      <c r="G122" s="142"/>
      <c r="H122" s="142"/>
    </row>
    <row r="123" spans="1:8">
      <c r="A123" s="122" t="s">
        <v>593</v>
      </c>
      <c r="B123" s="122" t="s">
        <v>597</v>
      </c>
      <c r="C123" s="122" t="s">
        <v>599</v>
      </c>
      <c r="D123" s="140"/>
      <c r="E123" s="140"/>
      <c r="F123" s="122">
        <v>1</v>
      </c>
      <c r="G123" s="140"/>
      <c r="H123" s="140"/>
    </row>
    <row r="124" spans="1:8">
      <c r="A124" s="121" t="s">
        <v>593</v>
      </c>
      <c r="B124" s="121" t="s">
        <v>597</v>
      </c>
      <c r="C124" s="121" t="s">
        <v>600</v>
      </c>
      <c r="D124" s="142"/>
      <c r="E124" s="142"/>
      <c r="F124" s="121">
        <v>1</v>
      </c>
      <c r="G124" s="142"/>
      <c r="H124" s="142"/>
    </row>
    <row r="125" spans="1:8">
      <c r="A125" s="123" t="s">
        <v>423</v>
      </c>
      <c r="B125" s="122" t="s">
        <v>601</v>
      </c>
      <c r="C125" s="122" t="s">
        <v>425</v>
      </c>
      <c r="D125" s="140"/>
      <c r="E125" s="140"/>
      <c r="F125" s="122">
        <v>1</v>
      </c>
      <c r="G125" s="140"/>
      <c r="H125" s="140"/>
    </row>
    <row r="126" spans="1:8">
      <c r="A126" s="121" t="s">
        <v>423</v>
      </c>
      <c r="B126" s="121" t="s">
        <v>601</v>
      </c>
      <c r="C126" s="121" t="s">
        <v>602</v>
      </c>
      <c r="D126" s="142"/>
      <c r="E126" s="142"/>
      <c r="F126" s="121">
        <v>4</v>
      </c>
      <c r="G126" s="142"/>
      <c r="H126" s="142"/>
    </row>
    <row r="127" spans="1:8">
      <c r="A127" s="123" t="s">
        <v>603</v>
      </c>
      <c r="B127" s="122" t="s">
        <v>604</v>
      </c>
      <c r="C127" s="122" t="s">
        <v>605</v>
      </c>
      <c r="D127" s="122">
        <v>0.2</v>
      </c>
      <c r="E127" s="122">
        <v>0.2</v>
      </c>
      <c r="F127" s="122">
        <v>0.04</v>
      </c>
      <c r="G127" s="140"/>
      <c r="H127" s="140"/>
    </row>
    <row r="128" spans="1:8">
      <c r="A128" s="124" t="s">
        <v>603</v>
      </c>
      <c r="B128" s="121" t="s">
        <v>604</v>
      </c>
      <c r="C128" s="121" t="s">
        <v>606</v>
      </c>
      <c r="D128" s="121">
        <v>0.35</v>
      </c>
      <c r="E128" s="121">
        <v>0.35</v>
      </c>
      <c r="F128" s="121">
        <v>7.0000000000000007E-2</v>
      </c>
      <c r="G128" s="142"/>
      <c r="H128" s="142"/>
    </row>
    <row r="129" spans="1:8">
      <c r="A129" s="123" t="s">
        <v>603</v>
      </c>
      <c r="B129" s="122" t="s">
        <v>604</v>
      </c>
      <c r="C129" s="122" t="s">
        <v>607</v>
      </c>
      <c r="D129" s="122">
        <v>1</v>
      </c>
      <c r="E129" s="122">
        <v>1</v>
      </c>
      <c r="F129" s="122">
        <v>0.2</v>
      </c>
      <c r="G129" s="140"/>
      <c r="H129" s="140"/>
    </row>
    <row r="130" spans="1:8">
      <c r="A130" s="124" t="s">
        <v>603</v>
      </c>
      <c r="B130" s="121" t="s">
        <v>608</v>
      </c>
      <c r="C130" s="121" t="s">
        <v>609</v>
      </c>
      <c r="D130" s="121"/>
      <c r="E130" s="121">
        <v>0.2</v>
      </c>
      <c r="F130" s="121">
        <v>0.02</v>
      </c>
      <c r="G130" s="142"/>
      <c r="H130" s="142"/>
    </row>
    <row r="131" spans="1:8">
      <c r="A131" s="123" t="s">
        <v>603</v>
      </c>
      <c r="B131" s="122" t="s">
        <v>608</v>
      </c>
      <c r="C131" s="122" t="s">
        <v>610</v>
      </c>
      <c r="D131" s="122"/>
      <c r="E131" s="122">
        <v>0.35</v>
      </c>
      <c r="F131" s="122">
        <v>3.5000000000000003E-2</v>
      </c>
      <c r="G131" s="140"/>
      <c r="H131" s="140"/>
    </row>
    <row r="132" spans="1:8">
      <c r="A132" s="124" t="s">
        <v>611</v>
      </c>
      <c r="B132" s="121" t="s">
        <v>612</v>
      </c>
      <c r="C132" s="121" t="s">
        <v>613</v>
      </c>
      <c r="D132" s="121">
        <v>0.2</v>
      </c>
      <c r="E132" s="121">
        <v>0.2</v>
      </c>
      <c r="F132" s="121">
        <v>0.04</v>
      </c>
      <c r="G132" s="142"/>
      <c r="H132" s="142"/>
    </row>
    <row r="133" spans="1:8">
      <c r="A133" s="123" t="s">
        <v>611</v>
      </c>
      <c r="B133" s="122" t="s">
        <v>612</v>
      </c>
      <c r="C133" s="122" t="s">
        <v>614</v>
      </c>
      <c r="D133" s="122">
        <v>0.35</v>
      </c>
      <c r="E133" s="122">
        <v>0.35</v>
      </c>
      <c r="F133" s="122">
        <v>7.0000000000000007E-2</v>
      </c>
      <c r="G133" s="140"/>
      <c r="H133" s="140"/>
    </row>
    <row r="134" spans="1:8">
      <c r="A134" s="124" t="s">
        <v>611</v>
      </c>
      <c r="B134" s="121" t="s">
        <v>612</v>
      </c>
      <c r="C134" s="121" t="s">
        <v>615</v>
      </c>
      <c r="D134" s="121">
        <v>1</v>
      </c>
      <c r="E134" s="121">
        <v>1</v>
      </c>
      <c r="F134" s="121">
        <v>0.2</v>
      </c>
      <c r="G134" s="142"/>
      <c r="H134" s="142"/>
    </row>
    <row r="135" spans="1:8">
      <c r="A135" s="123" t="s">
        <v>616</v>
      </c>
      <c r="B135" s="122" t="s">
        <v>617</v>
      </c>
      <c r="C135" s="122" t="s">
        <v>618</v>
      </c>
      <c r="D135" s="122">
        <v>0.35</v>
      </c>
      <c r="E135" s="122">
        <v>0.35</v>
      </c>
      <c r="F135" s="122">
        <v>7.0000000000000007E-2</v>
      </c>
      <c r="G135" s="140"/>
      <c r="H135" s="140"/>
    </row>
    <row r="136" spans="1:8">
      <c r="A136" s="124" t="s">
        <v>616</v>
      </c>
      <c r="B136" s="121" t="s">
        <v>617</v>
      </c>
      <c r="C136" s="121" t="s">
        <v>619</v>
      </c>
      <c r="D136" s="121">
        <v>1</v>
      </c>
      <c r="E136" s="121">
        <v>1</v>
      </c>
      <c r="F136" s="121">
        <v>0.2</v>
      </c>
      <c r="G136" s="142"/>
      <c r="H136" s="142"/>
    </row>
    <row r="137" spans="1:8">
      <c r="A137" s="123" t="s">
        <v>616</v>
      </c>
      <c r="B137" s="122" t="s">
        <v>617</v>
      </c>
      <c r="C137" s="122" t="s">
        <v>620</v>
      </c>
      <c r="D137" s="122">
        <v>1</v>
      </c>
      <c r="E137" s="122">
        <v>2</v>
      </c>
      <c r="F137" s="122">
        <v>0.2</v>
      </c>
      <c r="G137" s="140"/>
      <c r="H137" s="140"/>
    </row>
    <row r="138" spans="1:8">
      <c r="A138" s="124" t="s">
        <v>621</v>
      </c>
      <c r="B138" s="121" t="s">
        <v>622</v>
      </c>
      <c r="C138" s="121" t="s">
        <v>623</v>
      </c>
      <c r="D138" s="121">
        <v>0.1</v>
      </c>
      <c r="E138" s="121">
        <v>0.1</v>
      </c>
      <c r="F138" s="121">
        <v>0.02</v>
      </c>
      <c r="G138" s="142"/>
      <c r="H138" s="142"/>
    </row>
    <row r="139" spans="1:8">
      <c r="A139" s="123" t="s">
        <v>621</v>
      </c>
      <c r="B139" s="122" t="s">
        <v>622</v>
      </c>
      <c r="C139" s="122" t="s">
        <v>624</v>
      </c>
      <c r="D139" s="122">
        <v>0.35</v>
      </c>
      <c r="E139" s="122">
        <v>0.35</v>
      </c>
      <c r="F139" s="122">
        <v>7.0000000000000007E-2</v>
      </c>
      <c r="G139" s="140"/>
      <c r="H139" s="140"/>
    </row>
    <row r="140" spans="1:8">
      <c r="A140" s="124" t="s">
        <v>621</v>
      </c>
      <c r="B140" s="121" t="s">
        <v>622</v>
      </c>
      <c r="C140" s="121" t="s">
        <v>625</v>
      </c>
      <c r="D140" s="121">
        <v>1</v>
      </c>
      <c r="E140" s="121">
        <v>1</v>
      </c>
      <c r="F140" s="121">
        <v>0.2</v>
      </c>
      <c r="G140" s="142"/>
      <c r="H140" s="142"/>
    </row>
    <row r="141" spans="1:8">
      <c r="A141" s="123" t="s">
        <v>603</v>
      </c>
      <c r="B141" s="122" t="s">
        <v>626</v>
      </c>
      <c r="C141" s="122" t="s">
        <v>627</v>
      </c>
      <c r="D141" s="122">
        <v>0.1</v>
      </c>
      <c r="E141" s="122">
        <v>0.1</v>
      </c>
      <c r="F141" s="122">
        <v>0.02</v>
      </c>
      <c r="G141" s="140"/>
      <c r="H141" s="140"/>
    </row>
    <row r="142" spans="1:8">
      <c r="A142" s="124" t="s">
        <v>603</v>
      </c>
      <c r="B142" s="121" t="s">
        <v>626</v>
      </c>
      <c r="C142" s="121" t="s">
        <v>628</v>
      </c>
      <c r="D142" s="121">
        <v>0.35</v>
      </c>
      <c r="E142" s="121">
        <v>0.35</v>
      </c>
      <c r="F142" s="121">
        <v>7.0000000000000007E-2</v>
      </c>
      <c r="G142" s="142"/>
      <c r="H142" s="142"/>
    </row>
    <row r="143" spans="1:8">
      <c r="A143" s="123" t="s">
        <v>603</v>
      </c>
      <c r="B143" s="122" t="s">
        <v>626</v>
      </c>
      <c r="C143" s="122" t="s">
        <v>629</v>
      </c>
      <c r="D143" s="122">
        <v>1</v>
      </c>
      <c r="E143" s="122">
        <v>1</v>
      </c>
      <c r="F143" s="122">
        <v>0.2</v>
      </c>
      <c r="G143" s="140"/>
      <c r="H143" s="140"/>
    </row>
    <row r="144" spans="1:8">
      <c r="A144" s="124" t="s">
        <v>603</v>
      </c>
      <c r="B144" s="121" t="s">
        <v>630</v>
      </c>
      <c r="C144" s="121" t="s">
        <v>631</v>
      </c>
      <c r="D144" s="121">
        <v>0.1</v>
      </c>
      <c r="E144" s="121">
        <v>0.1</v>
      </c>
      <c r="F144" s="121">
        <v>0.02</v>
      </c>
      <c r="G144" s="142"/>
      <c r="H144" s="142"/>
    </row>
    <row r="145" spans="1:8">
      <c r="A145" s="123" t="s">
        <v>603</v>
      </c>
      <c r="B145" s="122" t="s">
        <v>630</v>
      </c>
      <c r="C145" s="122" t="s">
        <v>632</v>
      </c>
      <c r="D145" s="122">
        <v>0.35</v>
      </c>
      <c r="E145" s="122">
        <v>0.35</v>
      </c>
      <c r="F145" s="122">
        <v>7.0000000000000007E-2</v>
      </c>
      <c r="G145" s="140"/>
      <c r="H145" s="140"/>
    </row>
    <row r="146" spans="1:8">
      <c r="A146" s="124" t="s">
        <v>603</v>
      </c>
      <c r="B146" s="121" t="s">
        <v>630</v>
      </c>
      <c r="C146" s="121" t="s">
        <v>633</v>
      </c>
      <c r="D146" s="121">
        <v>1</v>
      </c>
      <c r="E146" s="121">
        <v>1</v>
      </c>
      <c r="F146" s="121">
        <v>0.2</v>
      </c>
      <c r="G146" s="142"/>
      <c r="H146" s="142"/>
    </row>
    <row r="147" spans="1:8">
      <c r="A147" s="123" t="s">
        <v>634</v>
      </c>
      <c r="B147" s="122" t="s">
        <v>635</v>
      </c>
      <c r="C147" s="122" t="s">
        <v>636</v>
      </c>
      <c r="D147" s="122">
        <v>0.1</v>
      </c>
      <c r="E147" s="122">
        <v>0.1</v>
      </c>
      <c r="F147" s="122">
        <v>0.02</v>
      </c>
      <c r="G147" s="140"/>
      <c r="H147" s="140"/>
    </row>
    <row r="148" spans="1:8">
      <c r="A148" s="124" t="s">
        <v>634</v>
      </c>
      <c r="B148" s="121" t="s">
        <v>635</v>
      </c>
      <c r="C148" s="121" t="s">
        <v>637</v>
      </c>
      <c r="D148" s="121">
        <v>0.35</v>
      </c>
      <c r="E148" s="121">
        <v>0.35</v>
      </c>
      <c r="F148" s="121">
        <v>7.0000000000000007E-2</v>
      </c>
      <c r="G148" s="142"/>
      <c r="H148" s="142"/>
    </row>
    <row r="149" spans="1:8">
      <c r="A149" s="123" t="s">
        <v>634</v>
      </c>
      <c r="B149" s="122" t="s">
        <v>635</v>
      </c>
      <c r="C149" s="122" t="s">
        <v>638</v>
      </c>
      <c r="D149" s="122">
        <v>1</v>
      </c>
      <c r="E149" s="122">
        <v>1</v>
      </c>
      <c r="F149" s="122">
        <v>0.2</v>
      </c>
      <c r="G149" s="140"/>
      <c r="H149" s="140"/>
    </row>
    <row r="150" spans="1:8">
      <c r="A150" s="124" t="s">
        <v>639</v>
      </c>
      <c r="B150" s="121" t="s">
        <v>640</v>
      </c>
      <c r="C150" s="121" t="s">
        <v>641</v>
      </c>
      <c r="D150" s="121">
        <v>0.35</v>
      </c>
      <c r="E150" s="121">
        <v>0.35</v>
      </c>
      <c r="F150" s="121">
        <v>7.0000000000000007E-2</v>
      </c>
      <c r="G150" s="142"/>
      <c r="H150" s="142"/>
    </row>
    <row r="151" spans="1:8">
      <c r="A151" s="123" t="s">
        <v>639</v>
      </c>
      <c r="B151" s="122" t="s">
        <v>640</v>
      </c>
      <c r="C151" s="122" t="s">
        <v>642</v>
      </c>
      <c r="D151" s="122">
        <v>1</v>
      </c>
      <c r="E151" s="122">
        <v>1</v>
      </c>
      <c r="F151" s="122">
        <v>0.2</v>
      </c>
      <c r="G151" s="140"/>
      <c r="H151" s="140"/>
    </row>
    <row r="152" spans="1:8">
      <c r="A152" s="124" t="s">
        <v>639</v>
      </c>
      <c r="B152" s="121" t="s">
        <v>640</v>
      </c>
      <c r="C152" s="121" t="s">
        <v>643</v>
      </c>
      <c r="D152" s="121">
        <v>0.5</v>
      </c>
      <c r="E152" s="121">
        <v>2</v>
      </c>
      <c r="F152" s="121">
        <v>0.25</v>
      </c>
      <c r="G152" s="142"/>
      <c r="H152" s="142"/>
    </row>
    <row r="153" spans="1:8">
      <c r="A153" s="123" t="s">
        <v>639</v>
      </c>
      <c r="B153" s="122" t="s">
        <v>644</v>
      </c>
      <c r="C153" s="122" t="s">
        <v>645</v>
      </c>
      <c r="D153" s="122"/>
      <c r="E153" s="122">
        <v>0.35</v>
      </c>
      <c r="F153" s="122">
        <v>3.5000000000000003E-2</v>
      </c>
      <c r="G153" s="140"/>
      <c r="H153" s="140"/>
    </row>
    <row r="154" spans="1:8">
      <c r="A154" s="124" t="s">
        <v>639</v>
      </c>
      <c r="B154" s="121" t="s">
        <v>644</v>
      </c>
      <c r="C154" s="121" t="s">
        <v>646</v>
      </c>
      <c r="D154" s="121"/>
      <c r="E154" s="121">
        <v>1</v>
      </c>
      <c r="F154" s="121">
        <v>0.1</v>
      </c>
      <c r="G154" s="142"/>
      <c r="H154" s="142"/>
    </row>
    <row r="155" spans="1:8">
      <c r="A155" s="123" t="s">
        <v>639</v>
      </c>
      <c r="B155" s="122" t="s">
        <v>647</v>
      </c>
      <c r="C155" s="122" t="s">
        <v>648</v>
      </c>
      <c r="D155" s="122">
        <v>0.35</v>
      </c>
      <c r="E155" s="122">
        <v>0.35</v>
      </c>
      <c r="F155" s="122">
        <v>7.0000000000000007E-2</v>
      </c>
      <c r="G155" s="140"/>
      <c r="H155" s="140"/>
    </row>
    <row r="156" spans="1:8">
      <c r="A156" s="124" t="s">
        <v>639</v>
      </c>
      <c r="B156" s="121" t="s">
        <v>647</v>
      </c>
      <c r="C156" s="121" t="s">
        <v>649</v>
      </c>
      <c r="D156" s="121">
        <v>1</v>
      </c>
      <c r="E156" s="121">
        <v>1</v>
      </c>
      <c r="F156" s="121">
        <v>0.2</v>
      </c>
      <c r="G156" s="142"/>
      <c r="H156" s="142"/>
    </row>
    <row r="157" spans="1:8">
      <c r="A157" s="123" t="s">
        <v>639</v>
      </c>
      <c r="B157" s="122" t="s">
        <v>647</v>
      </c>
      <c r="C157" s="122" t="s">
        <v>650</v>
      </c>
      <c r="D157" s="122">
        <v>1</v>
      </c>
      <c r="E157" s="122">
        <v>1</v>
      </c>
      <c r="F157" s="122">
        <v>0.2</v>
      </c>
      <c r="G157" s="140"/>
      <c r="H157" s="140"/>
    </row>
    <row r="158" spans="1:8">
      <c r="A158" s="124" t="s">
        <v>639</v>
      </c>
      <c r="B158" s="121" t="s">
        <v>651</v>
      </c>
      <c r="C158" s="121" t="s">
        <v>652</v>
      </c>
      <c r="D158" s="121"/>
      <c r="E158" s="121">
        <v>0.35</v>
      </c>
      <c r="F158" s="121">
        <v>7.0000000000000007E-2</v>
      </c>
      <c r="G158" s="142"/>
      <c r="H158" s="142"/>
    </row>
    <row r="159" spans="1:8">
      <c r="A159" s="123" t="s">
        <v>639</v>
      </c>
      <c r="B159" s="122" t="s">
        <v>651</v>
      </c>
      <c r="C159" s="122" t="s">
        <v>653</v>
      </c>
      <c r="D159" s="122"/>
      <c r="E159" s="122">
        <v>1</v>
      </c>
      <c r="F159" s="122">
        <v>0.1</v>
      </c>
      <c r="G159" s="140"/>
      <c r="H159" s="140"/>
    </row>
    <row r="160" spans="1:8">
      <c r="A160" s="124" t="s">
        <v>616</v>
      </c>
      <c r="B160" s="121" t="s">
        <v>654</v>
      </c>
      <c r="C160" s="121" t="s">
        <v>655</v>
      </c>
      <c r="D160" s="121">
        <v>0.35</v>
      </c>
      <c r="E160" s="121">
        <v>0.35</v>
      </c>
      <c r="F160" s="121">
        <v>7.0000000000000007E-2</v>
      </c>
      <c r="G160" s="142"/>
      <c r="H160" s="142"/>
    </row>
    <row r="161" spans="1:8">
      <c r="A161" s="123" t="s">
        <v>616</v>
      </c>
      <c r="B161" s="122" t="s">
        <v>654</v>
      </c>
      <c r="C161" s="122" t="s">
        <v>656</v>
      </c>
      <c r="D161" s="122">
        <v>1</v>
      </c>
      <c r="E161" s="122">
        <v>1</v>
      </c>
      <c r="F161" s="122">
        <v>0.2</v>
      </c>
      <c r="G161" s="140"/>
      <c r="H161" s="140"/>
    </row>
    <row r="162" spans="1:8">
      <c r="A162" s="124" t="s">
        <v>616</v>
      </c>
      <c r="B162" s="121" t="s">
        <v>654</v>
      </c>
      <c r="C162" s="121" t="s">
        <v>657</v>
      </c>
      <c r="D162" s="121">
        <v>1</v>
      </c>
      <c r="E162" s="121">
        <v>2</v>
      </c>
      <c r="F162" s="121">
        <v>0.3</v>
      </c>
      <c r="G162" s="142"/>
      <c r="H162" s="142"/>
    </row>
    <row r="163" spans="1:8">
      <c r="A163" s="123" t="s">
        <v>621</v>
      </c>
      <c r="B163" s="122" t="s">
        <v>658</v>
      </c>
      <c r="C163" s="122" t="s">
        <v>659</v>
      </c>
      <c r="D163" s="122">
        <v>0.1</v>
      </c>
      <c r="E163" s="122">
        <v>0.1</v>
      </c>
      <c r="F163" s="122">
        <v>0.02</v>
      </c>
      <c r="G163" s="140"/>
      <c r="H163" s="140"/>
    </row>
    <row r="164" spans="1:8">
      <c r="A164" s="124" t="s">
        <v>621</v>
      </c>
      <c r="B164" s="121" t="s">
        <v>658</v>
      </c>
      <c r="C164" s="121" t="s">
        <v>660</v>
      </c>
      <c r="D164" s="121">
        <v>0.35</v>
      </c>
      <c r="E164" s="121">
        <v>0.35</v>
      </c>
      <c r="F164" s="121">
        <v>7.0000000000000007E-2</v>
      </c>
      <c r="G164" s="142"/>
      <c r="H164" s="142"/>
    </row>
    <row r="165" spans="1:8">
      <c r="A165" s="123" t="s">
        <v>621</v>
      </c>
      <c r="B165" s="122" t="s">
        <v>658</v>
      </c>
      <c r="C165" s="122" t="s">
        <v>661</v>
      </c>
      <c r="D165" s="122">
        <v>1</v>
      </c>
      <c r="E165" s="122">
        <v>1</v>
      </c>
      <c r="F165" s="122">
        <v>0.2</v>
      </c>
      <c r="G165" s="140"/>
      <c r="H165" s="140"/>
    </row>
    <row r="166" spans="1:8">
      <c r="A166" s="124" t="s">
        <v>639</v>
      </c>
      <c r="B166" s="121" t="s">
        <v>662</v>
      </c>
      <c r="C166" s="121" t="s">
        <v>663</v>
      </c>
      <c r="D166" s="121">
        <v>0.1</v>
      </c>
      <c r="E166" s="121">
        <v>0.2</v>
      </c>
      <c r="F166" s="121">
        <v>0.03</v>
      </c>
      <c r="G166" s="142"/>
      <c r="H166" s="142"/>
    </row>
    <row r="167" spans="1:8">
      <c r="A167" s="123" t="s">
        <v>639</v>
      </c>
      <c r="B167" s="122" t="s">
        <v>662</v>
      </c>
      <c r="C167" s="122" t="s">
        <v>664</v>
      </c>
      <c r="D167" s="122">
        <v>0.35</v>
      </c>
      <c r="E167" s="122">
        <v>0.35</v>
      </c>
      <c r="F167" s="122">
        <v>7.0000000000000007E-2</v>
      </c>
      <c r="G167" s="140"/>
      <c r="H167" s="140"/>
    </row>
    <row r="168" spans="1:8">
      <c r="A168" s="124" t="s">
        <v>639</v>
      </c>
      <c r="B168" s="121" t="s">
        <v>662</v>
      </c>
      <c r="C168" s="121" t="s">
        <v>665</v>
      </c>
      <c r="D168" s="121">
        <v>1</v>
      </c>
      <c r="E168" s="121">
        <v>1</v>
      </c>
      <c r="F168" s="121">
        <v>0.2</v>
      </c>
      <c r="G168" s="142"/>
      <c r="H168" s="142"/>
    </row>
    <row r="169" spans="1:8">
      <c r="A169" s="123" t="s">
        <v>639</v>
      </c>
      <c r="B169" s="122" t="s">
        <v>666</v>
      </c>
      <c r="C169" s="122" t="s">
        <v>667</v>
      </c>
      <c r="D169" s="122">
        <v>0.2</v>
      </c>
      <c r="E169" s="122">
        <v>0.25</v>
      </c>
      <c r="F169" s="122">
        <v>4.4999999999999998E-2</v>
      </c>
      <c r="G169" s="140"/>
      <c r="H169" s="140"/>
    </row>
    <row r="170" spans="1:8">
      <c r="A170" s="124" t="s">
        <v>639</v>
      </c>
      <c r="B170" s="121" t="s">
        <v>666</v>
      </c>
      <c r="C170" s="121" t="s">
        <v>668</v>
      </c>
      <c r="D170" s="121">
        <v>0.35</v>
      </c>
      <c r="E170" s="121">
        <v>0.35</v>
      </c>
      <c r="F170" s="121">
        <v>7.0000000000000007E-2</v>
      </c>
      <c r="G170" s="142"/>
      <c r="H170" s="142"/>
    </row>
    <row r="171" spans="1:8">
      <c r="A171" s="123" t="s">
        <v>639</v>
      </c>
      <c r="B171" s="122" t="s">
        <v>666</v>
      </c>
      <c r="C171" s="122" t="s">
        <v>669</v>
      </c>
      <c r="D171" s="122">
        <v>1</v>
      </c>
      <c r="E171" s="122">
        <v>1</v>
      </c>
      <c r="F171" s="122">
        <v>0.2</v>
      </c>
      <c r="G171" s="140"/>
      <c r="H171" s="140"/>
    </row>
    <row r="172" spans="1:8">
      <c r="A172" s="124" t="s">
        <v>639</v>
      </c>
      <c r="B172" s="121" t="s">
        <v>670</v>
      </c>
      <c r="C172" s="121" t="s">
        <v>671</v>
      </c>
      <c r="D172" s="121"/>
      <c r="E172" s="121">
        <v>0.25</v>
      </c>
      <c r="F172" s="121">
        <v>2.5000000000000001E-2</v>
      </c>
      <c r="G172" s="142"/>
      <c r="H172" s="142"/>
    </row>
    <row r="173" spans="1:8">
      <c r="A173" s="123" t="s">
        <v>639</v>
      </c>
      <c r="B173" s="122" t="s">
        <v>670</v>
      </c>
      <c r="C173" s="122" t="s">
        <v>672</v>
      </c>
      <c r="D173" s="122"/>
      <c r="E173" s="122">
        <v>0.35</v>
      </c>
      <c r="F173" s="122">
        <v>7.0000000000000007E-2</v>
      </c>
      <c r="G173" s="140"/>
      <c r="H173" s="140"/>
    </row>
    <row r="174" spans="1:8">
      <c r="A174" s="124" t="s">
        <v>497</v>
      </c>
      <c r="B174" s="121" t="s">
        <v>498</v>
      </c>
      <c r="C174" s="121" t="s">
        <v>673</v>
      </c>
      <c r="D174" s="121">
        <v>0.35</v>
      </c>
      <c r="E174" s="142">
        <v>0.05</v>
      </c>
      <c r="F174" s="142"/>
      <c r="G174" s="142"/>
      <c r="H174" s="142"/>
    </row>
    <row r="175" spans="1:8">
      <c r="A175" s="123" t="s">
        <v>674</v>
      </c>
      <c r="B175" s="122" t="s">
        <v>675</v>
      </c>
      <c r="C175" s="122" t="s">
        <v>631</v>
      </c>
      <c r="D175" s="122">
        <v>0.1</v>
      </c>
      <c r="E175" s="122">
        <v>0.2</v>
      </c>
      <c r="F175" s="122">
        <v>0.03</v>
      </c>
      <c r="G175" s="140"/>
      <c r="H175" s="140"/>
    </row>
    <row r="176" spans="1:8">
      <c r="A176" s="124" t="s">
        <v>674</v>
      </c>
      <c r="B176" s="121" t="s">
        <v>675</v>
      </c>
      <c r="C176" s="121" t="s">
        <v>676</v>
      </c>
      <c r="D176" s="121">
        <v>1</v>
      </c>
      <c r="E176" s="121">
        <v>1</v>
      </c>
      <c r="F176" s="121">
        <v>0.2</v>
      </c>
      <c r="G176" s="142"/>
      <c r="H176" s="142"/>
    </row>
    <row r="177" spans="1:8">
      <c r="A177" s="123" t="s">
        <v>677</v>
      </c>
      <c r="B177" s="122" t="s">
        <v>678</v>
      </c>
      <c r="C177" s="122" t="s">
        <v>636</v>
      </c>
      <c r="D177" s="122">
        <v>0.1</v>
      </c>
      <c r="E177" s="122">
        <v>0.1</v>
      </c>
      <c r="F177" s="122">
        <v>0.02</v>
      </c>
      <c r="G177" s="140"/>
      <c r="H177" s="140"/>
    </row>
    <row r="178" spans="1:8">
      <c r="A178" s="124" t="s">
        <v>677</v>
      </c>
      <c r="B178" s="121" t="s">
        <v>678</v>
      </c>
      <c r="C178" s="121" t="s">
        <v>679</v>
      </c>
      <c r="D178" s="121">
        <v>1</v>
      </c>
      <c r="E178" s="121">
        <v>1</v>
      </c>
      <c r="F178" s="121">
        <v>0.2</v>
      </c>
      <c r="G178" s="142"/>
      <c r="H178" s="142"/>
    </row>
    <row r="179" spans="1:8">
      <c r="A179" s="123" t="s">
        <v>680</v>
      </c>
      <c r="B179" s="122" t="s">
        <v>681</v>
      </c>
      <c r="C179" s="122" t="s">
        <v>557</v>
      </c>
      <c r="D179" s="122">
        <v>0.1</v>
      </c>
      <c r="E179" s="122">
        <v>0.1</v>
      </c>
      <c r="F179" s="122">
        <v>0.02</v>
      </c>
      <c r="G179" s="140"/>
      <c r="H179" s="140"/>
    </row>
    <row r="180" spans="1:8">
      <c r="A180" s="124" t="s">
        <v>680</v>
      </c>
      <c r="B180" s="121" t="s">
        <v>681</v>
      </c>
      <c r="C180" s="121" t="s">
        <v>682</v>
      </c>
      <c r="D180" s="121">
        <v>1</v>
      </c>
      <c r="E180" s="121">
        <v>1</v>
      </c>
      <c r="F180" s="121">
        <v>0.2</v>
      </c>
      <c r="G180" s="142"/>
      <c r="H180" s="142"/>
    </row>
    <row r="181" spans="1:8">
      <c r="A181" s="123" t="s">
        <v>683</v>
      </c>
      <c r="B181" s="122" t="s">
        <v>684</v>
      </c>
      <c r="C181" s="122" t="s">
        <v>685</v>
      </c>
      <c r="D181" s="140"/>
      <c r="E181" s="140"/>
      <c r="F181" s="122">
        <v>8</v>
      </c>
      <c r="G181" s="140"/>
      <c r="H181" s="140"/>
    </row>
    <row r="182" spans="1:8">
      <c r="A182" s="124" t="s">
        <v>683</v>
      </c>
      <c r="B182" s="121" t="s">
        <v>684</v>
      </c>
      <c r="C182" s="121" t="s">
        <v>686</v>
      </c>
      <c r="D182" s="142"/>
      <c r="E182" s="142"/>
      <c r="F182" s="121">
        <v>20</v>
      </c>
      <c r="G182" s="142"/>
      <c r="H182" s="142"/>
    </row>
    <row r="183" spans="1:8">
      <c r="A183" s="123" t="s">
        <v>683</v>
      </c>
      <c r="B183" s="122" t="s">
        <v>684</v>
      </c>
      <c r="C183" s="122" t="s">
        <v>687</v>
      </c>
      <c r="D183" s="140"/>
      <c r="E183" s="140"/>
      <c r="F183" s="122">
        <v>1</v>
      </c>
      <c r="G183" s="140"/>
      <c r="H183" s="140"/>
    </row>
    <row r="184" spans="1:8">
      <c r="A184" s="124" t="s">
        <v>688</v>
      </c>
      <c r="B184" s="121" t="s">
        <v>689</v>
      </c>
      <c r="C184" s="121" t="s">
        <v>690</v>
      </c>
      <c r="D184" s="142"/>
      <c r="E184" s="142"/>
      <c r="F184" s="121">
        <v>8</v>
      </c>
      <c r="G184" s="142"/>
      <c r="H184" s="142"/>
    </row>
    <row r="185" spans="1:8">
      <c r="A185" s="123" t="s">
        <v>688</v>
      </c>
      <c r="B185" s="122" t="s">
        <v>689</v>
      </c>
      <c r="C185" s="122" t="s">
        <v>691</v>
      </c>
      <c r="D185" s="140"/>
      <c r="E185" s="140"/>
      <c r="F185" s="122">
        <v>40</v>
      </c>
      <c r="G185" s="140"/>
      <c r="H185" s="140"/>
    </row>
    <row r="186" spans="1:8">
      <c r="A186" s="124" t="s">
        <v>688</v>
      </c>
      <c r="B186" s="121" t="s">
        <v>689</v>
      </c>
      <c r="C186" s="121" t="s">
        <v>692</v>
      </c>
      <c r="D186" s="142"/>
      <c r="E186" s="142"/>
      <c r="F186" s="121">
        <v>60</v>
      </c>
      <c r="G186" s="142"/>
      <c r="H186" s="142"/>
    </row>
    <row r="187" spans="1:8">
      <c r="A187" s="123" t="s">
        <v>693</v>
      </c>
      <c r="B187" s="122" t="s">
        <v>694</v>
      </c>
      <c r="C187" s="122" t="s">
        <v>695</v>
      </c>
      <c r="D187" s="140"/>
      <c r="E187" s="140"/>
      <c r="F187" s="122">
        <v>40</v>
      </c>
      <c r="G187" s="140"/>
      <c r="H187" s="140"/>
    </row>
    <row r="188" spans="1:8">
      <c r="A188" s="124" t="s">
        <v>696</v>
      </c>
      <c r="B188" s="121" t="s">
        <v>697</v>
      </c>
      <c r="C188" s="121" t="s">
        <v>698</v>
      </c>
      <c r="D188" s="142"/>
      <c r="E188" s="142"/>
      <c r="F188" s="121">
        <v>40</v>
      </c>
      <c r="G188" s="142"/>
      <c r="H188" s="142"/>
    </row>
    <row r="189" spans="1:8">
      <c r="A189" s="123" t="s">
        <v>699</v>
      </c>
      <c r="B189" s="122" t="s">
        <v>700</v>
      </c>
      <c r="C189" s="122" t="s">
        <v>701</v>
      </c>
      <c r="D189" s="140"/>
      <c r="E189" s="140"/>
      <c r="F189" s="122">
        <v>4</v>
      </c>
      <c r="G189" s="140"/>
      <c r="H189" s="140"/>
    </row>
    <row r="190" spans="1:8">
      <c r="A190" s="124" t="s">
        <v>699</v>
      </c>
      <c r="B190" s="121" t="s">
        <v>700</v>
      </c>
      <c r="C190" s="121" t="s">
        <v>702</v>
      </c>
      <c r="D190" s="142"/>
      <c r="E190" s="142"/>
      <c r="F190" s="121">
        <v>8</v>
      </c>
      <c r="G190" s="142"/>
      <c r="H190" s="142"/>
    </row>
    <row r="191" spans="1:8">
      <c r="A191" s="123" t="s">
        <v>699</v>
      </c>
      <c r="B191" s="122" t="s">
        <v>700</v>
      </c>
      <c r="C191" s="122" t="s">
        <v>703</v>
      </c>
      <c r="D191" s="140"/>
      <c r="E191" s="140"/>
      <c r="F191" s="122">
        <v>60</v>
      </c>
      <c r="G191" s="140"/>
      <c r="H191" s="140"/>
    </row>
    <row r="192" spans="1:8">
      <c r="A192" s="124" t="s">
        <v>699</v>
      </c>
      <c r="B192" s="121" t="s">
        <v>700</v>
      </c>
      <c r="C192" s="121" t="s">
        <v>704</v>
      </c>
      <c r="D192" s="142"/>
      <c r="E192" s="142"/>
      <c r="F192" s="121">
        <v>200</v>
      </c>
      <c r="G192" s="142"/>
      <c r="H192" s="142"/>
    </row>
    <row r="193" spans="1:8">
      <c r="A193" s="123" t="s">
        <v>693</v>
      </c>
      <c r="B193" s="122" t="s">
        <v>705</v>
      </c>
      <c r="C193" s="122" t="s">
        <v>706</v>
      </c>
      <c r="D193" s="140"/>
      <c r="E193" s="140"/>
      <c r="F193" s="122">
        <v>4</v>
      </c>
      <c r="G193" s="140"/>
      <c r="H193" s="140"/>
    </row>
    <row r="194" spans="1:8">
      <c r="A194" s="124" t="s">
        <v>693</v>
      </c>
      <c r="B194" s="121" t="s">
        <v>705</v>
      </c>
      <c r="C194" s="121" t="s">
        <v>707</v>
      </c>
      <c r="D194" s="142"/>
      <c r="E194" s="142"/>
      <c r="F194" s="121">
        <v>8</v>
      </c>
      <c r="G194" s="142"/>
      <c r="H194" s="142"/>
    </row>
    <row r="195" spans="1:8">
      <c r="A195" s="123" t="s">
        <v>708</v>
      </c>
      <c r="B195" s="122" t="s">
        <v>709</v>
      </c>
      <c r="C195" s="122" t="s">
        <v>710</v>
      </c>
      <c r="D195" s="140"/>
      <c r="E195" s="140"/>
      <c r="F195" s="122">
        <v>4</v>
      </c>
      <c r="G195" s="140"/>
      <c r="H195" s="140"/>
    </row>
    <row r="196" spans="1:8">
      <c r="A196" s="124" t="s">
        <v>708</v>
      </c>
      <c r="B196" s="121" t="s">
        <v>709</v>
      </c>
      <c r="C196" s="121" t="s">
        <v>711</v>
      </c>
      <c r="D196" s="142"/>
      <c r="E196" s="142"/>
      <c r="F196" s="121">
        <v>8</v>
      </c>
      <c r="G196" s="142"/>
      <c r="H196" s="142"/>
    </row>
    <row r="197" spans="1:8">
      <c r="A197" s="123" t="s">
        <v>708</v>
      </c>
      <c r="B197" s="122" t="s">
        <v>709</v>
      </c>
      <c r="C197" s="122" t="s">
        <v>712</v>
      </c>
      <c r="D197" s="140"/>
      <c r="E197" s="140"/>
      <c r="F197" s="122">
        <v>60</v>
      </c>
      <c r="G197" s="140"/>
      <c r="H197" s="140"/>
    </row>
    <row r="198" spans="1:8">
      <c r="A198" s="124" t="s">
        <v>708</v>
      </c>
      <c r="B198" s="121" t="s">
        <v>709</v>
      </c>
      <c r="C198" s="121" t="s">
        <v>713</v>
      </c>
      <c r="D198" s="142"/>
      <c r="E198" s="142"/>
      <c r="F198" s="121">
        <v>200</v>
      </c>
      <c r="G198" s="142"/>
      <c r="H198" s="142"/>
    </row>
    <row r="199" spans="1:8">
      <c r="A199" s="123" t="s">
        <v>714</v>
      </c>
      <c r="B199" s="122" t="s">
        <v>715</v>
      </c>
      <c r="C199" s="122" t="s">
        <v>716</v>
      </c>
      <c r="D199" s="140"/>
      <c r="E199" s="140"/>
      <c r="F199" s="122">
        <v>4</v>
      </c>
      <c r="G199" s="140"/>
      <c r="H199" s="140"/>
    </row>
    <row r="200" spans="1:8">
      <c r="A200" s="124" t="s">
        <v>714</v>
      </c>
      <c r="B200" s="121" t="s">
        <v>715</v>
      </c>
      <c r="C200" s="121" t="s">
        <v>717</v>
      </c>
      <c r="D200" s="142"/>
      <c r="E200" s="142"/>
      <c r="F200" s="121">
        <v>60</v>
      </c>
      <c r="G200" s="142"/>
      <c r="H200" s="142"/>
    </row>
    <row r="201" spans="1:8">
      <c r="A201" s="123" t="s">
        <v>714</v>
      </c>
      <c r="B201" s="122" t="s">
        <v>715</v>
      </c>
      <c r="C201" s="122" t="s">
        <v>718</v>
      </c>
      <c r="D201" s="140"/>
      <c r="E201" s="140"/>
      <c r="F201" s="122">
        <v>200</v>
      </c>
      <c r="G201" s="140"/>
      <c r="H201" s="140"/>
    </row>
    <row r="202" spans="1:8">
      <c r="A202" s="124" t="s">
        <v>719</v>
      </c>
      <c r="B202" s="121" t="s">
        <v>720</v>
      </c>
      <c r="C202" s="121" t="s">
        <v>721</v>
      </c>
      <c r="D202" s="142"/>
      <c r="E202" s="142"/>
      <c r="F202" s="121">
        <v>3</v>
      </c>
      <c r="G202" s="142"/>
      <c r="H202" s="142"/>
    </row>
    <row r="203" spans="1:8">
      <c r="A203" s="123" t="s">
        <v>719</v>
      </c>
      <c r="B203" s="122" t="s">
        <v>720</v>
      </c>
      <c r="C203" s="122" t="s">
        <v>722</v>
      </c>
      <c r="D203" s="140"/>
      <c r="E203" s="140"/>
      <c r="F203" s="122">
        <v>8</v>
      </c>
      <c r="G203" s="140"/>
      <c r="H203" s="140"/>
    </row>
    <row r="204" spans="1:8">
      <c r="A204" s="124" t="s">
        <v>723</v>
      </c>
      <c r="B204" s="121" t="s">
        <v>724</v>
      </c>
      <c r="C204" s="121" t="s">
        <v>586</v>
      </c>
      <c r="D204" s="142"/>
      <c r="E204" s="142"/>
      <c r="F204" s="121">
        <v>4</v>
      </c>
      <c r="G204" s="142"/>
      <c r="H204" s="142"/>
    </row>
    <row r="205" spans="1:8">
      <c r="A205" s="123" t="s">
        <v>723</v>
      </c>
      <c r="B205" s="122" t="s">
        <v>724</v>
      </c>
      <c r="C205" s="122" t="s">
        <v>725</v>
      </c>
      <c r="D205" s="140"/>
      <c r="E205" s="140"/>
      <c r="F205" s="122">
        <v>8</v>
      </c>
      <c r="G205" s="140"/>
      <c r="H205" s="140"/>
    </row>
    <row r="206" spans="1:8">
      <c r="A206" s="124" t="s">
        <v>726</v>
      </c>
      <c r="B206" s="121" t="s">
        <v>727</v>
      </c>
      <c r="C206" s="121" t="s">
        <v>728</v>
      </c>
      <c r="D206" s="142"/>
      <c r="E206" s="142"/>
      <c r="F206" s="121">
        <v>3</v>
      </c>
      <c r="G206" s="142"/>
      <c r="H206" s="142"/>
    </row>
    <row r="207" spans="1:8">
      <c r="A207" s="123" t="s">
        <v>726</v>
      </c>
      <c r="B207" s="122" t="s">
        <v>727</v>
      </c>
      <c r="C207" s="122" t="s">
        <v>729</v>
      </c>
      <c r="D207" s="140"/>
      <c r="E207" s="140"/>
      <c r="F207" s="122">
        <v>8</v>
      </c>
      <c r="G207" s="140"/>
      <c r="H207" s="140"/>
    </row>
    <row r="208" spans="1:8">
      <c r="A208" s="124" t="s">
        <v>730</v>
      </c>
      <c r="B208" s="121" t="s">
        <v>731</v>
      </c>
      <c r="C208" s="121" t="s">
        <v>732</v>
      </c>
      <c r="D208" s="142"/>
      <c r="E208" s="142"/>
      <c r="F208" s="121">
        <v>3</v>
      </c>
      <c r="G208" s="142"/>
      <c r="H208" s="142"/>
    </row>
    <row r="209" spans="1:8">
      <c r="A209" s="123" t="s">
        <v>730</v>
      </c>
      <c r="B209" s="122" t="s">
        <v>731</v>
      </c>
      <c r="C209" s="122" t="s">
        <v>733</v>
      </c>
      <c r="D209" s="140"/>
      <c r="E209" s="140"/>
      <c r="F209" s="122">
        <v>8</v>
      </c>
      <c r="G209" s="140"/>
      <c r="H209" s="140"/>
    </row>
    <row r="210" spans="1:8">
      <c r="A210" s="124" t="s">
        <v>734</v>
      </c>
      <c r="B210" s="121" t="s">
        <v>735</v>
      </c>
      <c r="C210" s="121" t="s">
        <v>736</v>
      </c>
      <c r="D210" s="142"/>
      <c r="E210" s="142"/>
      <c r="F210" s="121">
        <v>2</v>
      </c>
      <c r="G210" s="142"/>
      <c r="H210" s="142"/>
    </row>
    <row r="211" spans="1:8">
      <c r="A211" s="123" t="s">
        <v>734</v>
      </c>
      <c r="B211" s="122" t="s">
        <v>735</v>
      </c>
      <c r="C211" s="122" t="s">
        <v>737</v>
      </c>
      <c r="D211" s="140"/>
      <c r="E211" s="140"/>
      <c r="F211" s="122">
        <v>6</v>
      </c>
      <c r="G211" s="140"/>
      <c r="H211" s="140"/>
    </row>
    <row r="212" spans="1:8">
      <c r="A212" s="124" t="s">
        <v>738</v>
      </c>
      <c r="B212" s="121" t="s">
        <v>739</v>
      </c>
      <c r="C212" s="121" t="s">
        <v>587</v>
      </c>
      <c r="D212" s="142"/>
      <c r="E212" s="142"/>
      <c r="F212" s="121">
        <v>2</v>
      </c>
      <c r="G212" s="142"/>
      <c r="H212" s="142"/>
    </row>
    <row r="213" spans="1:8">
      <c r="A213" s="123" t="s">
        <v>738</v>
      </c>
      <c r="B213" s="122" t="s">
        <v>739</v>
      </c>
      <c r="C213" s="122" t="s">
        <v>740</v>
      </c>
      <c r="D213" s="140"/>
      <c r="E213" s="140"/>
      <c r="F213" s="122">
        <v>6</v>
      </c>
      <c r="G213" s="140"/>
      <c r="H213" s="140"/>
    </row>
    <row r="214" spans="1:8">
      <c r="A214" s="124" t="s">
        <v>741</v>
      </c>
      <c r="B214" s="121" t="s">
        <v>742</v>
      </c>
      <c r="C214" s="121" t="s">
        <v>743</v>
      </c>
      <c r="D214" s="142"/>
      <c r="E214" s="142"/>
      <c r="F214" s="121">
        <v>2</v>
      </c>
      <c r="G214" s="142"/>
      <c r="H214" s="142"/>
    </row>
    <row r="215" spans="1:8">
      <c r="A215" s="123" t="s">
        <v>741</v>
      </c>
      <c r="B215" s="122" t="s">
        <v>742</v>
      </c>
      <c r="C215" s="122" t="s">
        <v>744</v>
      </c>
      <c r="D215" s="140"/>
      <c r="E215" s="140"/>
      <c r="F215" s="122">
        <v>2</v>
      </c>
      <c r="G215" s="140"/>
      <c r="H215" s="140"/>
    </row>
    <row r="216" spans="1:8">
      <c r="A216" s="124" t="s">
        <v>741</v>
      </c>
      <c r="B216" s="121" t="s">
        <v>742</v>
      </c>
      <c r="C216" s="121" t="s">
        <v>745</v>
      </c>
      <c r="D216" s="142"/>
      <c r="E216" s="142"/>
      <c r="F216" s="121">
        <v>8</v>
      </c>
      <c r="G216" s="142"/>
      <c r="H216" s="142"/>
    </row>
    <row r="217" spans="1:8">
      <c r="A217" s="123" t="s">
        <v>746</v>
      </c>
      <c r="B217" s="122" t="s">
        <v>747</v>
      </c>
      <c r="C217" s="122" t="s">
        <v>748</v>
      </c>
      <c r="D217" s="140"/>
      <c r="E217" s="140"/>
      <c r="F217" s="122">
        <v>8</v>
      </c>
      <c r="G217" s="140"/>
      <c r="H217" s="140"/>
    </row>
    <row r="218" spans="1:8">
      <c r="A218" s="124" t="s">
        <v>749</v>
      </c>
      <c r="B218" s="121" t="s">
        <v>750</v>
      </c>
      <c r="C218" s="121" t="s">
        <v>595</v>
      </c>
      <c r="D218" s="142"/>
      <c r="E218" s="142"/>
      <c r="F218" s="121">
        <v>6</v>
      </c>
      <c r="G218" s="142"/>
      <c r="H218" s="142"/>
    </row>
    <row r="219" spans="1:8">
      <c r="A219" s="123" t="s">
        <v>749</v>
      </c>
      <c r="B219" s="122" t="s">
        <v>750</v>
      </c>
      <c r="C219" s="122" t="s">
        <v>751</v>
      </c>
      <c r="D219" s="140"/>
      <c r="E219" s="140"/>
      <c r="F219" s="122">
        <v>8</v>
      </c>
      <c r="G219" s="140"/>
      <c r="H219" s="140"/>
    </row>
    <row r="220" spans="1:8">
      <c r="A220" s="124" t="s">
        <v>752</v>
      </c>
      <c r="B220" s="121" t="s">
        <v>753</v>
      </c>
      <c r="C220" s="121" t="s">
        <v>754</v>
      </c>
      <c r="D220" s="142"/>
      <c r="E220" s="142"/>
      <c r="F220" s="121">
        <v>2</v>
      </c>
      <c r="G220" s="142"/>
      <c r="H220" s="142"/>
    </row>
    <row r="221" spans="1:8">
      <c r="A221" s="123" t="s">
        <v>752</v>
      </c>
      <c r="B221" s="122" t="s">
        <v>753</v>
      </c>
      <c r="C221" s="122" t="s">
        <v>755</v>
      </c>
      <c r="D221" s="140"/>
      <c r="E221" s="140"/>
      <c r="F221" s="122">
        <v>8</v>
      </c>
      <c r="G221" s="140"/>
      <c r="H221" s="140"/>
    </row>
    <row r="222" spans="1:8">
      <c r="A222" s="124" t="s">
        <v>756</v>
      </c>
      <c r="B222" s="121" t="s">
        <v>757</v>
      </c>
      <c r="C222" s="121" t="s">
        <v>758</v>
      </c>
      <c r="D222" s="142"/>
      <c r="E222" s="142"/>
      <c r="F222" s="121">
        <v>4</v>
      </c>
      <c r="G222" s="142"/>
      <c r="H222" s="142"/>
    </row>
    <row r="223" spans="1:8">
      <c r="A223" s="123" t="s">
        <v>756</v>
      </c>
      <c r="B223" s="122" t="s">
        <v>757</v>
      </c>
      <c r="C223" s="122" t="s">
        <v>759</v>
      </c>
      <c r="D223" s="140"/>
      <c r="E223" s="140"/>
      <c r="F223" s="122">
        <v>8</v>
      </c>
      <c r="G223" s="140"/>
      <c r="H223" s="140"/>
    </row>
    <row r="224" spans="1:8">
      <c r="A224" s="124" t="s">
        <v>760</v>
      </c>
      <c r="B224" s="121" t="s">
        <v>761</v>
      </c>
      <c r="C224" s="121" t="s">
        <v>762</v>
      </c>
      <c r="D224" s="142"/>
      <c r="E224" s="142"/>
      <c r="F224" s="121">
        <v>2</v>
      </c>
      <c r="G224" s="142"/>
      <c r="H224" s="142"/>
    </row>
    <row r="225" spans="1:8">
      <c r="A225" s="123" t="s">
        <v>760</v>
      </c>
      <c r="B225" s="122" t="s">
        <v>761</v>
      </c>
      <c r="C225" s="122" t="s">
        <v>763</v>
      </c>
      <c r="D225" s="140"/>
      <c r="E225" s="140"/>
      <c r="F225" s="122">
        <v>8</v>
      </c>
      <c r="G225" s="140"/>
      <c r="H225" s="140"/>
    </row>
    <row r="226" spans="1:8">
      <c r="A226" s="124" t="s">
        <v>760</v>
      </c>
      <c r="B226" s="121" t="s">
        <v>764</v>
      </c>
      <c r="C226" s="121" t="s">
        <v>765</v>
      </c>
      <c r="D226" s="142"/>
      <c r="E226" s="142"/>
      <c r="F226" s="121">
        <v>80</v>
      </c>
      <c r="G226" s="142"/>
      <c r="H226" s="142"/>
    </row>
    <row r="227" spans="1:8">
      <c r="A227" s="123" t="s">
        <v>766</v>
      </c>
      <c r="B227" s="122" t="s">
        <v>767</v>
      </c>
      <c r="C227" s="122" t="s">
        <v>768</v>
      </c>
      <c r="D227" s="140"/>
      <c r="E227" s="140"/>
      <c r="F227" s="122">
        <v>4</v>
      </c>
      <c r="G227" s="140"/>
      <c r="H227" s="140"/>
    </row>
    <row r="228" spans="1:8">
      <c r="A228" s="124" t="s">
        <v>766</v>
      </c>
      <c r="B228" s="121" t="s">
        <v>767</v>
      </c>
      <c r="C228" s="121" t="s">
        <v>769</v>
      </c>
      <c r="D228" s="142"/>
      <c r="E228" s="142"/>
      <c r="F228" s="121">
        <v>8</v>
      </c>
      <c r="G228" s="142"/>
      <c r="H228" s="142"/>
    </row>
    <row r="229" spans="1:8">
      <c r="A229" s="123" t="s">
        <v>770</v>
      </c>
      <c r="B229" s="122" t="s">
        <v>771</v>
      </c>
      <c r="C229" s="122" t="s">
        <v>772</v>
      </c>
      <c r="D229" s="140"/>
      <c r="E229" s="140"/>
      <c r="F229" s="122">
        <v>80</v>
      </c>
      <c r="G229" s="140"/>
      <c r="H229" s="140"/>
    </row>
    <row r="230" spans="1:8">
      <c r="A230" s="124" t="s">
        <v>773</v>
      </c>
      <c r="B230" s="121" t="s">
        <v>774</v>
      </c>
      <c r="C230" s="121" t="s">
        <v>775</v>
      </c>
      <c r="D230" s="142"/>
      <c r="E230" s="142"/>
      <c r="F230" s="121">
        <v>40</v>
      </c>
      <c r="G230" s="142"/>
      <c r="H230" s="142"/>
    </row>
    <row r="231" spans="1:8">
      <c r="A231" s="123" t="s">
        <v>776</v>
      </c>
      <c r="B231" s="122" t="s">
        <v>777</v>
      </c>
      <c r="C231" s="122" t="s">
        <v>778</v>
      </c>
      <c r="D231" s="122"/>
      <c r="E231" s="122">
        <v>0.1</v>
      </c>
      <c r="F231" s="122">
        <v>0.01</v>
      </c>
      <c r="G231" s="140"/>
      <c r="H231" s="140"/>
    </row>
    <row r="232" spans="1:8">
      <c r="A232" s="124" t="s">
        <v>776</v>
      </c>
      <c r="B232" s="121" t="s">
        <v>777</v>
      </c>
      <c r="C232" s="121" t="s">
        <v>779</v>
      </c>
      <c r="D232" s="121"/>
      <c r="E232" s="121">
        <v>8</v>
      </c>
      <c r="F232" s="121">
        <v>2</v>
      </c>
      <c r="G232" s="142"/>
      <c r="H232" s="142"/>
    </row>
    <row r="233" spans="1:8">
      <c r="A233" s="123" t="s">
        <v>780</v>
      </c>
      <c r="B233" s="122" t="s">
        <v>781</v>
      </c>
      <c r="C233" s="122" t="s">
        <v>782</v>
      </c>
      <c r="D233" s="122"/>
      <c r="E233" s="122">
        <v>2.5000000000000001E-2</v>
      </c>
      <c r="F233" s="122">
        <v>2.5000000000000001E-2</v>
      </c>
      <c r="G233" s="140"/>
      <c r="H233" s="140"/>
    </row>
    <row r="234" spans="1:8">
      <c r="A234" s="124" t="s">
        <v>399</v>
      </c>
      <c r="B234" s="121" t="s">
        <v>783</v>
      </c>
      <c r="C234" s="121" t="s">
        <v>778</v>
      </c>
      <c r="D234" s="142"/>
      <c r="E234" s="142"/>
      <c r="F234" s="121">
        <v>0.5</v>
      </c>
      <c r="G234" s="142"/>
      <c r="H234" s="142"/>
    </row>
    <row r="235" spans="1:8">
      <c r="A235" s="123" t="s">
        <v>399</v>
      </c>
      <c r="B235" s="122" t="s">
        <v>783</v>
      </c>
      <c r="C235" s="122" t="s">
        <v>784</v>
      </c>
      <c r="D235" s="140"/>
      <c r="E235" s="140"/>
      <c r="F235" s="122">
        <v>2</v>
      </c>
      <c r="G235" s="140"/>
      <c r="H235" s="140"/>
    </row>
    <row r="236" spans="1:8">
      <c r="A236" s="124" t="s">
        <v>399</v>
      </c>
      <c r="B236" s="121" t="s">
        <v>785</v>
      </c>
      <c r="C236" s="121" t="s">
        <v>778</v>
      </c>
      <c r="D236" s="142"/>
      <c r="E236" s="142"/>
      <c r="F236" s="121">
        <v>0.5</v>
      </c>
      <c r="G236" s="142"/>
      <c r="H236" s="142"/>
    </row>
    <row r="237" spans="1:8">
      <c r="A237" s="123" t="s">
        <v>399</v>
      </c>
      <c r="B237" s="122" t="s">
        <v>785</v>
      </c>
      <c r="C237" s="122" t="s">
        <v>786</v>
      </c>
      <c r="D237" s="140"/>
      <c r="E237" s="140"/>
      <c r="F237" s="122">
        <v>2</v>
      </c>
      <c r="G237" s="140"/>
      <c r="H237" s="140"/>
    </row>
    <row r="238" spans="1:8">
      <c r="A238" s="124" t="s">
        <v>399</v>
      </c>
      <c r="B238" s="121" t="s">
        <v>787</v>
      </c>
      <c r="C238" s="121" t="s">
        <v>778</v>
      </c>
      <c r="D238" s="142"/>
      <c r="E238" s="142"/>
      <c r="F238" s="121">
        <v>0.25</v>
      </c>
      <c r="G238" s="142"/>
      <c r="H238" s="142"/>
    </row>
    <row r="239" spans="1:8">
      <c r="A239" s="123" t="s">
        <v>399</v>
      </c>
      <c r="B239" s="122" t="s">
        <v>787</v>
      </c>
      <c r="C239" s="122" t="s">
        <v>788</v>
      </c>
      <c r="D239" s="140"/>
      <c r="E239" s="140"/>
      <c r="F239" s="122">
        <v>2</v>
      </c>
      <c r="G239" s="140"/>
      <c r="H239" s="140"/>
    </row>
    <row r="240" spans="1:8">
      <c r="A240" s="125"/>
      <c r="B240" s="125"/>
      <c r="C240" s="125"/>
      <c r="D240" s="141"/>
      <c r="E240" s="141"/>
      <c r="F240" s="125"/>
      <c r="G240" s="141"/>
      <c r="H240" s="141"/>
    </row>
  </sheetData>
  <autoFilter ref="A1:H239" xr:uid="{38F5928A-AC93-411F-8E5D-4C85A6F7CC68}">
    <filterColumn colId="6" showButton="0"/>
  </autoFilter>
  <mergeCells count="358">
    <mergeCell ref="G1:H1"/>
    <mergeCell ref="D2:E2"/>
    <mergeCell ref="G2:H2"/>
    <mergeCell ref="D3:E3"/>
    <mergeCell ref="G3:H3"/>
    <mergeCell ref="D4:E4"/>
    <mergeCell ref="G4:H4"/>
    <mergeCell ref="D9:E9"/>
    <mergeCell ref="G9:H9"/>
    <mergeCell ref="D10:E10"/>
    <mergeCell ref="G10:H10"/>
    <mergeCell ref="D11:E11"/>
    <mergeCell ref="G11:H11"/>
    <mergeCell ref="G5:H5"/>
    <mergeCell ref="G6:H6"/>
    <mergeCell ref="D7:E7"/>
    <mergeCell ref="G7:H7"/>
    <mergeCell ref="D8:E8"/>
    <mergeCell ref="G8:H8"/>
    <mergeCell ref="D15:E15"/>
    <mergeCell ref="G15:H15"/>
    <mergeCell ref="D16:E16"/>
    <mergeCell ref="G16:H16"/>
    <mergeCell ref="D17:E17"/>
    <mergeCell ref="G17:H17"/>
    <mergeCell ref="D12:E12"/>
    <mergeCell ref="G12:H12"/>
    <mergeCell ref="D13:E13"/>
    <mergeCell ref="G13:H13"/>
    <mergeCell ref="D14:E14"/>
    <mergeCell ref="G14:H14"/>
    <mergeCell ref="D22:E22"/>
    <mergeCell ref="G22:H22"/>
    <mergeCell ref="D23:E23"/>
    <mergeCell ref="G23:H23"/>
    <mergeCell ref="D24:E24"/>
    <mergeCell ref="G24:H24"/>
    <mergeCell ref="D18:E18"/>
    <mergeCell ref="G18:H18"/>
    <mergeCell ref="G19:H19"/>
    <mergeCell ref="G20:H20"/>
    <mergeCell ref="D21:E21"/>
    <mergeCell ref="G21:H21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34:E34"/>
    <mergeCell ref="G34:H34"/>
    <mergeCell ref="G35:H35"/>
    <mergeCell ref="G36:H36"/>
    <mergeCell ref="G37:H37"/>
    <mergeCell ref="G38:H38"/>
    <mergeCell ref="D31:E31"/>
    <mergeCell ref="G31:H31"/>
    <mergeCell ref="D32:E32"/>
    <mergeCell ref="G32:H32"/>
    <mergeCell ref="D33:E33"/>
    <mergeCell ref="G33:H33"/>
    <mergeCell ref="G45:H45"/>
    <mergeCell ref="G46:H46"/>
    <mergeCell ref="G47:H47"/>
    <mergeCell ref="G48:H48"/>
    <mergeCell ref="G49:H49"/>
    <mergeCell ref="G50:H50"/>
    <mergeCell ref="G39:H39"/>
    <mergeCell ref="G40:H40"/>
    <mergeCell ref="G41:H41"/>
    <mergeCell ref="G42:H42"/>
    <mergeCell ref="G43:H43"/>
    <mergeCell ref="G44:H44"/>
    <mergeCell ref="D57:E57"/>
    <mergeCell ref="G57:H57"/>
    <mergeCell ref="D58:E58"/>
    <mergeCell ref="G58:H58"/>
    <mergeCell ref="D59:E59"/>
    <mergeCell ref="G59:H59"/>
    <mergeCell ref="G51:H51"/>
    <mergeCell ref="G52:H52"/>
    <mergeCell ref="G53:H53"/>
    <mergeCell ref="G54:H54"/>
    <mergeCell ref="G55:H55"/>
    <mergeCell ref="E56:F56"/>
    <mergeCell ref="G56:H56"/>
    <mergeCell ref="D63:E63"/>
    <mergeCell ref="G63:H63"/>
    <mergeCell ref="D64:E64"/>
    <mergeCell ref="G64:H64"/>
    <mergeCell ref="D65:E65"/>
    <mergeCell ref="G65:H65"/>
    <mergeCell ref="D60:E60"/>
    <mergeCell ref="G60:H60"/>
    <mergeCell ref="D61:E61"/>
    <mergeCell ref="G61:H61"/>
    <mergeCell ref="D62:E62"/>
    <mergeCell ref="G62:H62"/>
    <mergeCell ref="G72:H72"/>
    <mergeCell ref="G73:H73"/>
    <mergeCell ref="G74:H74"/>
    <mergeCell ref="G75:H75"/>
    <mergeCell ref="G76:H76"/>
    <mergeCell ref="G77:H77"/>
    <mergeCell ref="G66:H66"/>
    <mergeCell ref="G67:H67"/>
    <mergeCell ref="G68:H68"/>
    <mergeCell ref="G69:H69"/>
    <mergeCell ref="G70:H70"/>
    <mergeCell ref="G71:H71"/>
    <mergeCell ref="G84:H84"/>
    <mergeCell ref="G85:H85"/>
    <mergeCell ref="G86:H86"/>
    <mergeCell ref="G87:H87"/>
    <mergeCell ref="G88:H88"/>
    <mergeCell ref="G89:H89"/>
    <mergeCell ref="G78:H78"/>
    <mergeCell ref="G79:H79"/>
    <mergeCell ref="G80:H80"/>
    <mergeCell ref="G81:H81"/>
    <mergeCell ref="G82:H82"/>
    <mergeCell ref="G83:H83"/>
    <mergeCell ref="G96:H96"/>
    <mergeCell ref="D97:E97"/>
    <mergeCell ref="G97:H97"/>
    <mergeCell ref="D98:E98"/>
    <mergeCell ref="G98:H98"/>
    <mergeCell ref="D99:E99"/>
    <mergeCell ref="G99:H99"/>
    <mergeCell ref="G90:H90"/>
    <mergeCell ref="G91:H91"/>
    <mergeCell ref="G92:H92"/>
    <mergeCell ref="G93:H93"/>
    <mergeCell ref="G94:H94"/>
    <mergeCell ref="G95:H95"/>
    <mergeCell ref="G103:H103"/>
    <mergeCell ref="G104:H104"/>
    <mergeCell ref="D105:E105"/>
    <mergeCell ref="G105:H105"/>
    <mergeCell ref="D106:E106"/>
    <mergeCell ref="G106:H106"/>
    <mergeCell ref="D100:E100"/>
    <mergeCell ref="G100:H100"/>
    <mergeCell ref="D101:E101"/>
    <mergeCell ref="G101:H101"/>
    <mergeCell ref="D102:E102"/>
    <mergeCell ref="G102:H102"/>
    <mergeCell ref="G112:H112"/>
    <mergeCell ref="G113:H113"/>
    <mergeCell ref="G114:H114"/>
    <mergeCell ref="D115:E115"/>
    <mergeCell ref="G115:H115"/>
    <mergeCell ref="D116:E116"/>
    <mergeCell ref="G116:H116"/>
    <mergeCell ref="E107:F107"/>
    <mergeCell ref="G107:H107"/>
    <mergeCell ref="G108:H108"/>
    <mergeCell ref="G109:H109"/>
    <mergeCell ref="G110:H110"/>
    <mergeCell ref="G111:H111"/>
    <mergeCell ref="D120:E120"/>
    <mergeCell ref="G120:H120"/>
    <mergeCell ref="D121:E121"/>
    <mergeCell ref="G121:H121"/>
    <mergeCell ref="D122:E122"/>
    <mergeCell ref="G122:H122"/>
    <mergeCell ref="D117:E117"/>
    <mergeCell ref="G117:H117"/>
    <mergeCell ref="D118:E118"/>
    <mergeCell ref="G118:H118"/>
    <mergeCell ref="D119:E119"/>
    <mergeCell ref="G119:H119"/>
    <mergeCell ref="D126:E126"/>
    <mergeCell ref="G126:H126"/>
    <mergeCell ref="G127:H127"/>
    <mergeCell ref="G128:H128"/>
    <mergeCell ref="G129:H129"/>
    <mergeCell ref="G130:H130"/>
    <mergeCell ref="D123:E123"/>
    <mergeCell ref="G123:H123"/>
    <mergeCell ref="D124:E124"/>
    <mergeCell ref="G124:H124"/>
    <mergeCell ref="D125:E125"/>
    <mergeCell ref="G125:H125"/>
    <mergeCell ref="G137:H137"/>
    <mergeCell ref="G138:H138"/>
    <mergeCell ref="G139:H139"/>
    <mergeCell ref="G140:H140"/>
    <mergeCell ref="G141:H141"/>
    <mergeCell ref="G142:H142"/>
    <mergeCell ref="G131:H131"/>
    <mergeCell ref="G132:H132"/>
    <mergeCell ref="G133:H133"/>
    <mergeCell ref="G134:H134"/>
    <mergeCell ref="G135:H135"/>
    <mergeCell ref="G136:H136"/>
    <mergeCell ref="G149:H149"/>
    <mergeCell ref="G150:H150"/>
    <mergeCell ref="G151:H151"/>
    <mergeCell ref="G152:H152"/>
    <mergeCell ref="G153:H153"/>
    <mergeCell ref="G154:H154"/>
    <mergeCell ref="G143:H143"/>
    <mergeCell ref="G144:H144"/>
    <mergeCell ref="G145:H145"/>
    <mergeCell ref="G146:H146"/>
    <mergeCell ref="G147:H147"/>
    <mergeCell ref="G148:H148"/>
    <mergeCell ref="G161:H161"/>
    <mergeCell ref="G162:H162"/>
    <mergeCell ref="G163:H163"/>
    <mergeCell ref="G164:H164"/>
    <mergeCell ref="G165:H165"/>
    <mergeCell ref="G166:H166"/>
    <mergeCell ref="G155:H155"/>
    <mergeCell ref="G156:H156"/>
    <mergeCell ref="G157:H157"/>
    <mergeCell ref="G158:H158"/>
    <mergeCell ref="G159:H159"/>
    <mergeCell ref="G160:H160"/>
    <mergeCell ref="G173:H173"/>
    <mergeCell ref="E174:F174"/>
    <mergeCell ref="G174:H174"/>
    <mergeCell ref="G175:H175"/>
    <mergeCell ref="G176:H176"/>
    <mergeCell ref="G177:H177"/>
    <mergeCell ref="G167:H167"/>
    <mergeCell ref="G168:H168"/>
    <mergeCell ref="G169:H169"/>
    <mergeCell ref="G170:H170"/>
    <mergeCell ref="G171:H171"/>
    <mergeCell ref="G172:H172"/>
    <mergeCell ref="D183:E183"/>
    <mergeCell ref="G183:H183"/>
    <mergeCell ref="D184:E184"/>
    <mergeCell ref="G184:H184"/>
    <mergeCell ref="D185:E185"/>
    <mergeCell ref="G185:H185"/>
    <mergeCell ref="G178:H178"/>
    <mergeCell ref="G179:H179"/>
    <mergeCell ref="G180:H180"/>
    <mergeCell ref="D181:E181"/>
    <mergeCell ref="G181:H181"/>
    <mergeCell ref="D182:E182"/>
    <mergeCell ref="G182:H182"/>
    <mergeCell ref="D189:E189"/>
    <mergeCell ref="G189:H189"/>
    <mergeCell ref="D190:E190"/>
    <mergeCell ref="G190:H190"/>
    <mergeCell ref="D191:E191"/>
    <mergeCell ref="G191:H191"/>
    <mergeCell ref="D186:E186"/>
    <mergeCell ref="G186:H186"/>
    <mergeCell ref="D187:E187"/>
    <mergeCell ref="G187:H187"/>
    <mergeCell ref="D188:E188"/>
    <mergeCell ref="G188:H188"/>
    <mergeCell ref="D195:E195"/>
    <mergeCell ref="G195:H195"/>
    <mergeCell ref="D196:E196"/>
    <mergeCell ref="G196:H196"/>
    <mergeCell ref="D197:E197"/>
    <mergeCell ref="G197:H197"/>
    <mergeCell ref="D192:E192"/>
    <mergeCell ref="G192:H192"/>
    <mergeCell ref="D193:E193"/>
    <mergeCell ref="G193:H193"/>
    <mergeCell ref="D194:E194"/>
    <mergeCell ref="G194:H194"/>
    <mergeCell ref="D201:E201"/>
    <mergeCell ref="G201:H201"/>
    <mergeCell ref="D202:E202"/>
    <mergeCell ref="G202:H202"/>
    <mergeCell ref="D203:E203"/>
    <mergeCell ref="G203:H203"/>
    <mergeCell ref="D198:E198"/>
    <mergeCell ref="G198:H198"/>
    <mergeCell ref="D199:E199"/>
    <mergeCell ref="G199:H199"/>
    <mergeCell ref="D200:E200"/>
    <mergeCell ref="G200:H200"/>
    <mergeCell ref="D207:E207"/>
    <mergeCell ref="G207:H207"/>
    <mergeCell ref="D208:E208"/>
    <mergeCell ref="G208:H208"/>
    <mergeCell ref="D209:E209"/>
    <mergeCell ref="G209:H209"/>
    <mergeCell ref="D204:E204"/>
    <mergeCell ref="G204:H204"/>
    <mergeCell ref="D205:E205"/>
    <mergeCell ref="G205:H205"/>
    <mergeCell ref="D206:E206"/>
    <mergeCell ref="G206:H206"/>
    <mergeCell ref="D213:E213"/>
    <mergeCell ref="G213:H213"/>
    <mergeCell ref="D214:E214"/>
    <mergeCell ref="G214:H214"/>
    <mergeCell ref="D215:E215"/>
    <mergeCell ref="G215:H215"/>
    <mergeCell ref="D210:E210"/>
    <mergeCell ref="G210:H210"/>
    <mergeCell ref="D211:E211"/>
    <mergeCell ref="G211:H211"/>
    <mergeCell ref="D212:E212"/>
    <mergeCell ref="G212:H212"/>
    <mergeCell ref="D219:E219"/>
    <mergeCell ref="G219:H219"/>
    <mergeCell ref="D220:E220"/>
    <mergeCell ref="G220:H220"/>
    <mergeCell ref="D221:E221"/>
    <mergeCell ref="G221:H221"/>
    <mergeCell ref="D216:E216"/>
    <mergeCell ref="G216:H216"/>
    <mergeCell ref="D217:E217"/>
    <mergeCell ref="G217:H217"/>
    <mergeCell ref="D218:E218"/>
    <mergeCell ref="G218:H218"/>
    <mergeCell ref="D225:E225"/>
    <mergeCell ref="G225:H225"/>
    <mergeCell ref="D226:E226"/>
    <mergeCell ref="G226:H226"/>
    <mergeCell ref="D227:E227"/>
    <mergeCell ref="G227:H227"/>
    <mergeCell ref="D222:E222"/>
    <mergeCell ref="G222:H222"/>
    <mergeCell ref="D223:E223"/>
    <mergeCell ref="G223:H223"/>
    <mergeCell ref="D224:E224"/>
    <mergeCell ref="G224:H224"/>
    <mergeCell ref="G231:H231"/>
    <mergeCell ref="G232:H232"/>
    <mergeCell ref="G233:H233"/>
    <mergeCell ref="D234:E234"/>
    <mergeCell ref="G234:H234"/>
    <mergeCell ref="D235:E235"/>
    <mergeCell ref="G235:H235"/>
    <mergeCell ref="D228:E228"/>
    <mergeCell ref="G228:H228"/>
    <mergeCell ref="D229:E229"/>
    <mergeCell ref="G229:H229"/>
    <mergeCell ref="D230:E230"/>
    <mergeCell ref="G230:H230"/>
    <mergeCell ref="D239:E239"/>
    <mergeCell ref="G239:H239"/>
    <mergeCell ref="D240:E240"/>
    <mergeCell ref="G240:H240"/>
    <mergeCell ref="D236:E236"/>
    <mergeCell ref="G236:H236"/>
    <mergeCell ref="D237:E237"/>
    <mergeCell ref="G237:H237"/>
    <mergeCell ref="D238:E238"/>
    <mergeCell ref="G238:H23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DAAD9-71DD-4BC2-B5A0-8D2DB8FFF9B9}">
  <sheetPr codeName="Sheet4"/>
  <dimension ref="A1:T99"/>
  <sheetViews>
    <sheetView tabSelected="1" topLeftCell="A87" workbookViewId="0">
      <selection activeCell="F93" sqref="F93:F94"/>
    </sheetView>
  </sheetViews>
  <sheetFormatPr defaultRowHeight="15"/>
  <cols>
    <col min="1" max="1" width="7.85546875" customWidth="1"/>
    <col min="2" max="2" width="25.140625" bestFit="1" customWidth="1"/>
    <col min="3" max="3" width="12.85546875" customWidth="1"/>
    <col min="4" max="4" width="12.7109375" bestFit="1" customWidth="1"/>
    <col min="5" max="5" width="16.42578125" customWidth="1"/>
    <col min="6" max="6" width="17.7109375" customWidth="1"/>
    <col min="7" max="7" width="11.85546875" customWidth="1"/>
  </cols>
  <sheetData>
    <row r="1" spans="1:20">
      <c r="A1" s="145" t="s">
        <v>789</v>
      </c>
      <c r="B1" s="145"/>
      <c r="C1" s="126" t="s">
        <v>790</v>
      </c>
      <c r="D1" s="126"/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</row>
    <row r="2" spans="1:20">
      <c r="A2" s="145" t="s">
        <v>791</v>
      </c>
      <c r="B2" s="145"/>
      <c r="C2" s="126" t="s">
        <v>792</v>
      </c>
      <c r="D2" s="126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  <c r="P2" s="125"/>
      <c r="Q2" s="125"/>
      <c r="R2" s="125"/>
      <c r="S2" s="125"/>
      <c r="T2" s="125"/>
    </row>
    <row r="3" spans="1:20">
      <c r="A3" s="145" t="s">
        <v>793</v>
      </c>
      <c r="B3" s="145"/>
      <c r="C3" s="126" t="s">
        <v>794</v>
      </c>
      <c r="D3" s="126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</row>
    <row r="4" spans="1:20">
      <c r="A4" s="141"/>
      <c r="B4" s="141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</row>
    <row r="5" spans="1:20">
      <c r="A5" s="146"/>
      <c r="B5" s="146"/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8"/>
      <c r="P5" s="127"/>
      <c r="Q5" s="127"/>
      <c r="R5" s="129"/>
      <c r="S5" s="127"/>
      <c r="T5" s="125"/>
    </row>
    <row r="6" spans="1:20">
      <c r="A6" s="147"/>
      <c r="B6" s="147"/>
      <c r="C6" s="134"/>
      <c r="D6" s="125"/>
      <c r="E6" s="125"/>
      <c r="F6" s="125"/>
      <c r="G6" s="125"/>
      <c r="H6" s="125"/>
      <c r="I6" s="125"/>
      <c r="J6" s="125"/>
      <c r="K6" s="125"/>
      <c r="L6" s="125"/>
      <c r="M6" s="125"/>
      <c r="N6" s="125"/>
      <c r="O6" s="125"/>
      <c r="P6" s="125"/>
      <c r="Q6" s="125"/>
      <c r="R6" s="125"/>
      <c r="S6" s="125"/>
      <c r="T6" s="125"/>
    </row>
    <row r="7" spans="1:20">
      <c r="A7" s="144" t="s">
        <v>795</v>
      </c>
      <c r="B7" s="144"/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144"/>
      <c r="N7" s="144"/>
      <c r="O7" s="144"/>
      <c r="P7" s="144"/>
      <c r="Q7" s="144"/>
      <c r="R7" s="144"/>
      <c r="S7" s="144"/>
      <c r="T7" s="125"/>
    </row>
    <row r="8" spans="1:20">
      <c r="A8" s="141"/>
      <c r="B8" s="141"/>
      <c r="C8" s="125"/>
      <c r="D8" s="125"/>
      <c r="E8" s="125"/>
      <c r="F8" s="125"/>
      <c r="G8" s="125"/>
      <c r="H8" s="125"/>
      <c r="I8" s="125"/>
      <c r="J8" s="125"/>
      <c r="K8" s="125"/>
      <c r="L8" s="125"/>
      <c r="M8" s="125"/>
      <c r="N8" s="125"/>
      <c r="O8" s="125"/>
      <c r="P8" s="125"/>
      <c r="Q8" s="125"/>
      <c r="R8" s="125"/>
      <c r="S8" s="125"/>
      <c r="T8" s="125"/>
    </row>
    <row r="9" spans="1:20">
      <c r="A9" s="141"/>
      <c r="B9" s="141"/>
      <c r="C9" s="125"/>
      <c r="D9" s="125" t="s">
        <v>796</v>
      </c>
      <c r="E9" s="125" t="s">
        <v>797</v>
      </c>
      <c r="F9" s="125" t="s">
        <v>798</v>
      </c>
      <c r="G9" s="125" t="s">
        <v>799</v>
      </c>
      <c r="H9" s="125"/>
      <c r="I9" s="125"/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5"/>
    </row>
    <row r="10" spans="1:20">
      <c r="A10" s="141"/>
      <c r="B10" s="141"/>
      <c r="C10" s="125"/>
      <c r="D10" s="125"/>
      <c r="E10" s="125" t="s">
        <v>800</v>
      </c>
      <c r="F10" s="125" t="s">
        <v>800</v>
      </c>
      <c r="G10" s="125"/>
      <c r="H10" s="125"/>
      <c r="I10" s="125"/>
      <c r="J10" s="125"/>
      <c r="K10" s="125"/>
      <c r="L10" s="125"/>
      <c r="M10" s="125"/>
      <c r="N10" s="125"/>
      <c r="O10" s="125"/>
      <c r="P10" s="125"/>
      <c r="Q10" s="125"/>
      <c r="R10" s="125"/>
      <c r="S10" s="125"/>
      <c r="T10" s="125"/>
    </row>
    <row r="11" spans="1:20">
      <c r="A11" s="141"/>
      <c r="B11" s="141"/>
      <c r="C11" s="125"/>
      <c r="D11" s="125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  <c r="Q11" s="125"/>
      <c r="R11" s="125"/>
      <c r="S11" s="125"/>
      <c r="T11" s="125"/>
    </row>
    <row r="12" spans="1:20">
      <c r="A12" s="135" t="s">
        <v>0</v>
      </c>
      <c r="B12" s="135" t="s">
        <v>889</v>
      </c>
      <c r="C12" s="126" t="s">
        <v>888</v>
      </c>
      <c r="D12" s="126" t="s">
        <v>890</v>
      </c>
      <c r="E12" s="133" t="s">
        <v>891</v>
      </c>
      <c r="F12" s="133" t="s">
        <v>892</v>
      </c>
      <c r="G12" s="125" t="s">
        <v>799</v>
      </c>
      <c r="H12" s="125"/>
      <c r="I12" s="125"/>
      <c r="J12" s="125"/>
      <c r="K12" s="125"/>
      <c r="L12" s="125"/>
      <c r="M12" s="125"/>
      <c r="N12" s="125"/>
      <c r="O12" s="125"/>
      <c r="P12" s="125"/>
      <c r="Q12" s="125"/>
      <c r="R12" s="125"/>
      <c r="S12" s="125"/>
      <c r="T12" s="125"/>
    </row>
    <row r="13" spans="1:20">
      <c r="A13" s="125"/>
      <c r="B13" s="126" t="s">
        <v>801</v>
      </c>
      <c r="C13" s="126"/>
      <c r="D13" s="130">
        <v>0</v>
      </c>
      <c r="E13" s="130">
        <v>0</v>
      </c>
      <c r="F13" s="130">
        <v>0</v>
      </c>
      <c r="G13" s="131"/>
      <c r="H13" s="125"/>
      <c r="I13" s="125"/>
      <c r="J13" s="125"/>
      <c r="K13" s="125"/>
      <c r="L13" s="125"/>
      <c r="M13" s="125"/>
      <c r="N13" s="125"/>
      <c r="O13" s="125"/>
      <c r="P13" s="125"/>
      <c r="Q13" s="125"/>
      <c r="R13" s="125"/>
      <c r="S13" s="125"/>
      <c r="T13" s="125"/>
    </row>
    <row r="14" spans="1:20">
      <c r="A14" s="125">
        <v>7112</v>
      </c>
      <c r="B14" s="125" t="s">
        <v>802</v>
      </c>
      <c r="C14" s="125"/>
      <c r="D14" s="132">
        <v>0</v>
      </c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  <c r="Q14" s="125"/>
      <c r="R14" s="125"/>
      <c r="S14" s="125"/>
      <c r="T14" s="125"/>
    </row>
    <row r="15" spans="1:20">
      <c r="A15" s="125">
        <v>7114</v>
      </c>
      <c r="B15" s="125" t="s">
        <v>803</v>
      </c>
      <c r="C15" s="125"/>
      <c r="D15" s="132">
        <v>0</v>
      </c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  <c r="Q15" s="125"/>
      <c r="R15" s="125"/>
      <c r="S15" s="125"/>
      <c r="T15" s="125"/>
    </row>
    <row r="16" spans="1:20">
      <c r="A16" s="125">
        <v>7115</v>
      </c>
      <c r="B16" s="125" t="s">
        <v>804</v>
      </c>
      <c r="C16" s="125"/>
      <c r="D16" s="132">
        <v>0</v>
      </c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25"/>
      <c r="S16" s="125"/>
      <c r="T16" s="125"/>
    </row>
    <row r="17" spans="1:20">
      <c r="A17" s="125">
        <v>7120</v>
      </c>
      <c r="B17" s="125" t="s">
        <v>805</v>
      </c>
      <c r="C17" s="125"/>
      <c r="D17" s="132">
        <v>0</v>
      </c>
      <c r="E17" s="125"/>
      <c r="F17" s="125"/>
      <c r="G17" s="125"/>
      <c r="H17" s="125"/>
      <c r="I17" s="125"/>
      <c r="J17" s="125"/>
      <c r="K17" s="125"/>
      <c r="L17" s="125"/>
      <c r="M17" s="125"/>
      <c r="N17" s="125"/>
      <c r="O17" s="125"/>
      <c r="P17" s="125"/>
      <c r="Q17" s="125"/>
      <c r="R17" s="125"/>
      <c r="S17" s="125"/>
      <c r="T17" s="125"/>
    </row>
    <row r="18" spans="1:20">
      <c r="A18" s="125">
        <v>7130</v>
      </c>
      <c r="B18" s="125" t="s">
        <v>806</v>
      </c>
      <c r="C18" s="125"/>
      <c r="D18" s="132">
        <v>0</v>
      </c>
      <c r="E18" s="125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5"/>
      <c r="S18" s="125"/>
      <c r="T18" s="125"/>
    </row>
    <row r="19" spans="1:20">
      <c r="A19" s="125">
        <v>7140</v>
      </c>
      <c r="B19" s="125" t="s">
        <v>807</v>
      </c>
      <c r="C19" s="125"/>
      <c r="D19" s="132">
        <v>0</v>
      </c>
      <c r="E19" s="125"/>
      <c r="F19" s="125"/>
      <c r="G19" s="125"/>
      <c r="H19" s="125"/>
      <c r="I19" s="125"/>
      <c r="J19" s="125"/>
      <c r="K19" s="125"/>
      <c r="L19" s="125"/>
      <c r="M19" s="125"/>
      <c r="N19" s="125"/>
      <c r="O19" s="125"/>
      <c r="P19" s="125"/>
      <c r="Q19" s="125"/>
      <c r="R19" s="125"/>
      <c r="S19" s="125"/>
      <c r="T19" s="125"/>
    </row>
    <row r="20" spans="1:20">
      <c r="A20" s="125">
        <v>7140</v>
      </c>
      <c r="B20" s="125" t="s">
        <v>808</v>
      </c>
      <c r="C20" s="125"/>
      <c r="D20" s="132">
        <v>0</v>
      </c>
      <c r="E20" s="125"/>
      <c r="F20" s="125"/>
      <c r="G20" s="125"/>
      <c r="H20" s="125"/>
      <c r="I20" s="125"/>
      <c r="J20" s="125"/>
      <c r="K20" s="125"/>
      <c r="L20" s="125"/>
      <c r="M20" s="125"/>
      <c r="N20" s="125"/>
      <c r="O20" s="125"/>
      <c r="P20" s="125"/>
      <c r="Q20" s="125"/>
      <c r="R20" s="125"/>
      <c r="S20" s="125"/>
      <c r="T20" s="125"/>
    </row>
    <row r="21" spans="1:20">
      <c r="A21" s="125"/>
      <c r="B21" s="125"/>
      <c r="C21" s="125"/>
      <c r="D21" s="125"/>
      <c r="E21" s="125"/>
      <c r="F21" s="125"/>
      <c r="G21" s="125"/>
      <c r="H21" s="125"/>
      <c r="I21" s="125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</row>
    <row r="22" spans="1:20">
      <c r="A22" s="125"/>
      <c r="B22" s="126" t="s">
        <v>809</v>
      </c>
      <c r="C22" s="126"/>
      <c r="D22" s="130">
        <v>30</v>
      </c>
      <c r="E22" s="130">
        <v>30</v>
      </c>
      <c r="F22" s="130">
        <v>30</v>
      </c>
      <c r="G22" s="130">
        <v>30</v>
      </c>
      <c r="H22" s="125"/>
      <c r="I22" s="125"/>
      <c r="J22" s="125"/>
      <c r="K22" s="125"/>
      <c r="L22" s="125"/>
      <c r="M22" s="125"/>
      <c r="N22" s="125"/>
      <c r="O22" s="125"/>
      <c r="P22" s="125"/>
      <c r="Q22" s="125"/>
      <c r="R22" s="125"/>
      <c r="S22" s="125"/>
      <c r="T22" s="125"/>
    </row>
    <row r="23" spans="1:20">
      <c r="A23" s="125">
        <v>7311</v>
      </c>
      <c r="B23" s="125" t="s">
        <v>810</v>
      </c>
      <c r="C23" s="125" t="s">
        <v>871</v>
      </c>
      <c r="D23" s="132">
        <v>10</v>
      </c>
      <c r="E23" s="131">
        <v>10</v>
      </c>
      <c r="F23" s="131">
        <v>10</v>
      </c>
      <c r="G23" s="131">
        <v>10</v>
      </c>
      <c r="H23" s="125"/>
      <c r="I23" s="125"/>
      <c r="J23" s="125"/>
      <c r="K23" s="125"/>
      <c r="L23" s="125"/>
      <c r="M23" s="125"/>
      <c r="N23" s="125"/>
      <c r="O23" s="125"/>
      <c r="P23" s="125"/>
      <c r="Q23" s="125"/>
      <c r="R23" s="125"/>
      <c r="S23" s="125"/>
      <c r="T23" s="125"/>
    </row>
    <row r="24" spans="1:20">
      <c r="A24" s="125">
        <v>7312</v>
      </c>
      <c r="B24" s="125" t="s">
        <v>811</v>
      </c>
      <c r="C24" s="125" t="s">
        <v>872</v>
      </c>
      <c r="D24" s="132">
        <v>20</v>
      </c>
      <c r="E24" s="131">
        <v>20</v>
      </c>
      <c r="F24" s="131">
        <v>20</v>
      </c>
      <c r="G24" s="131">
        <v>20</v>
      </c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25"/>
      <c r="S24" s="125"/>
      <c r="T24" s="125"/>
    </row>
    <row r="25" spans="1:20">
      <c r="A25" s="125">
        <v>7312</v>
      </c>
      <c r="B25" s="125" t="s">
        <v>812</v>
      </c>
      <c r="C25" s="125" t="s">
        <v>873</v>
      </c>
      <c r="D25" s="132">
        <v>0</v>
      </c>
      <c r="E25" s="131">
        <v>0</v>
      </c>
      <c r="F25" s="131">
        <v>0</v>
      </c>
      <c r="G25" s="131">
        <v>0</v>
      </c>
      <c r="H25" s="125"/>
      <c r="I25" s="125"/>
      <c r="J25" s="125"/>
      <c r="K25" s="125"/>
      <c r="L25" s="125"/>
      <c r="M25" s="125"/>
      <c r="N25" s="125"/>
      <c r="O25" s="125"/>
      <c r="P25" s="125"/>
      <c r="Q25" s="125"/>
      <c r="R25" s="125"/>
      <c r="S25" s="125"/>
      <c r="T25" s="125"/>
    </row>
    <row r="26" spans="1:20">
      <c r="A26" s="125"/>
      <c r="B26" s="125"/>
      <c r="C26" s="125"/>
      <c r="D26" s="125"/>
      <c r="E26" s="125"/>
      <c r="F26" s="125"/>
      <c r="G26" s="125"/>
      <c r="H26" s="125"/>
      <c r="I26" s="125"/>
      <c r="J26" s="125"/>
      <c r="K26" s="125"/>
      <c r="L26" s="125"/>
      <c r="M26" s="125"/>
      <c r="N26" s="125"/>
      <c r="O26" s="125"/>
      <c r="P26" s="125"/>
      <c r="Q26" s="125"/>
      <c r="R26" s="125"/>
      <c r="S26" s="125"/>
      <c r="T26" s="125"/>
    </row>
    <row r="27" spans="1:20">
      <c r="A27" s="125"/>
      <c r="B27" s="126" t="s">
        <v>813</v>
      </c>
      <c r="C27" s="126"/>
      <c r="D27" s="130">
        <v>0</v>
      </c>
      <c r="E27" s="130">
        <v>0</v>
      </c>
      <c r="F27" s="130">
        <v>0</v>
      </c>
      <c r="G27" s="130">
        <v>0</v>
      </c>
      <c r="H27" s="125"/>
      <c r="I27" s="125"/>
      <c r="J27" s="125"/>
      <c r="K27" s="125"/>
      <c r="L27" s="125"/>
      <c r="M27" s="125"/>
      <c r="N27" s="125"/>
      <c r="O27" s="125"/>
      <c r="P27" s="125"/>
      <c r="Q27" s="125"/>
      <c r="R27" s="125"/>
      <c r="S27" s="125"/>
      <c r="T27" s="125"/>
    </row>
    <row r="28" spans="1:20">
      <c r="A28" s="125">
        <v>7321</v>
      </c>
      <c r="B28" s="125" t="s">
        <v>814</v>
      </c>
      <c r="C28" s="125" t="s">
        <v>874</v>
      </c>
      <c r="D28" s="132">
        <v>0</v>
      </c>
      <c r="E28" s="131">
        <v>0</v>
      </c>
      <c r="F28" s="131">
        <v>0</v>
      </c>
      <c r="G28" s="131">
        <v>0</v>
      </c>
      <c r="H28" s="125"/>
      <c r="I28" s="125"/>
      <c r="J28" s="125"/>
      <c r="K28" s="125"/>
      <c r="L28" s="125"/>
      <c r="M28" s="125"/>
      <c r="N28" s="125"/>
      <c r="O28" s="125"/>
      <c r="P28" s="125"/>
      <c r="Q28" s="125"/>
      <c r="R28" s="125"/>
      <c r="S28" s="125"/>
      <c r="T28" s="125"/>
    </row>
    <row r="29" spans="1:20">
      <c r="A29" s="125">
        <v>7322</v>
      </c>
      <c r="B29" s="125" t="s">
        <v>815</v>
      </c>
      <c r="C29" s="125" t="s">
        <v>875</v>
      </c>
      <c r="D29" s="132">
        <v>0</v>
      </c>
      <c r="E29" s="131">
        <v>0</v>
      </c>
      <c r="F29" s="131">
        <v>0</v>
      </c>
      <c r="G29" s="131"/>
      <c r="H29" s="125"/>
      <c r="I29" s="125"/>
      <c r="J29" s="125"/>
      <c r="K29" s="125"/>
      <c r="L29" s="125"/>
      <c r="M29" s="125"/>
      <c r="N29" s="125"/>
      <c r="O29" s="125"/>
      <c r="P29" s="125"/>
      <c r="Q29" s="125"/>
      <c r="R29" s="125"/>
      <c r="S29" s="125"/>
      <c r="T29" s="125"/>
    </row>
    <row r="30" spans="1:20">
      <c r="A30" s="125">
        <v>7323</v>
      </c>
      <c r="B30" s="125" t="s">
        <v>816</v>
      </c>
      <c r="C30" s="125" t="s">
        <v>875</v>
      </c>
      <c r="D30" s="132">
        <v>0</v>
      </c>
      <c r="E30" s="131">
        <v>0</v>
      </c>
      <c r="F30" s="131">
        <v>0</v>
      </c>
      <c r="G30" s="131">
        <v>0</v>
      </c>
      <c r="H30" s="125"/>
      <c r="I30" s="125"/>
      <c r="J30" s="125"/>
      <c r="K30" s="125"/>
      <c r="L30" s="125"/>
      <c r="M30" s="125"/>
      <c r="N30" s="125"/>
      <c r="O30" s="125"/>
      <c r="P30" s="125"/>
      <c r="Q30" s="125"/>
      <c r="R30" s="125"/>
      <c r="S30" s="125"/>
      <c r="T30" s="125"/>
    </row>
    <row r="31" spans="1:20">
      <c r="A31" s="125">
        <v>7324</v>
      </c>
      <c r="B31" s="125" t="s">
        <v>817</v>
      </c>
      <c r="C31" s="125" t="s">
        <v>875</v>
      </c>
      <c r="D31" s="132">
        <v>0</v>
      </c>
      <c r="E31" s="131">
        <v>0</v>
      </c>
      <c r="F31" s="131">
        <v>0</v>
      </c>
      <c r="G31" s="131">
        <v>0</v>
      </c>
      <c r="H31" s="125"/>
      <c r="I31" s="125"/>
      <c r="J31" s="125"/>
      <c r="K31" s="125"/>
      <c r="L31" s="125"/>
      <c r="M31" s="125"/>
      <c r="N31" s="125"/>
      <c r="O31" s="125"/>
      <c r="P31" s="125"/>
      <c r="Q31" s="125"/>
      <c r="R31" s="125"/>
      <c r="S31" s="125"/>
      <c r="T31" s="125"/>
    </row>
    <row r="32" spans="1:20">
      <c r="A32" s="125">
        <v>7325</v>
      </c>
      <c r="B32" s="125" t="s">
        <v>818</v>
      </c>
      <c r="C32" s="125" t="s">
        <v>875</v>
      </c>
      <c r="D32" s="132">
        <v>0</v>
      </c>
      <c r="E32" s="131">
        <v>0</v>
      </c>
      <c r="F32" s="131">
        <v>0</v>
      </c>
      <c r="G32" s="131">
        <v>0</v>
      </c>
      <c r="H32" s="125"/>
      <c r="I32" s="125"/>
      <c r="J32" s="125"/>
      <c r="K32" s="125"/>
      <c r="L32" s="125"/>
      <c r="M32" s="125"/>
      <c r="N32" s="125"/>
      <c r="O32" s="125"/>
      <c r="P32" s="125"/>
      <c r="Q32" s="125"/>
      <c r="R32" s="125"/>
      <c r="S32" s="125"/>
      <c r="T32" s="125"/>
    </row>
    <row r="33" spans="1:20">
      <c r="A33" s="125">
        <v>7326</v>
      </c>
      <c r="B33" s="125" t="s">
        <v>819</v>
      </c>
      <c r="C33" s="125" t="s">
        <v>876</v>
      </c>
      <c r="D33" s="132">
        <v>0</v>
      </c>
      <c r="E33" s="131">
        <v>0</v>
      </c>
      <c r="F33" s="131">
        <v>0</v>
      </c>
      <c r="G33" s="131">
        <v>0</v>
      </c>
      <c r="H33" s="125"/>
      <c r="I33" s="125"/>
      <c r="J33" s="125"/>
      <c r="K33" s="125"/>
      <c r="L33" s="125"/>
      <c r="M33" s="125"/>
      <c r="N33" s="125"/>
      <c r="O33" s="125"/>
      <c r="P33" s="125"/>
      <c r="Q33" s="125"/>
      <c r="R33" s="125"/>
      <c r="S33" s="125"/>
      <c r="T33" s="125"/>
    </row>
    <row r="34" spans="1:20">
      <c r="A34" s="125">
        <v>7327</v>
      </c>
      <c r="B34" s="125" t="s">
        <v>820</v>
      </c>
      <c r="C34" s="125" t="s">
        <v>875</v>
      </c>
      <c r="D34" s="132">
        <v>0</v>
      </c>
      <c r="E34" s="131">
        <v>0</v>
      </c>
      <c r="F34" s="131">
        <v>0</v>
      </c>
      <c r="G34" s="131">
        <v>0</v>
      </c>
      <c r="H34" s="125"/>
      <c r="I34" s="125"/>
      <c r="J34" s="125"/>
      <c r="K34" s="125"/>
      <c r="L34" s="125"/>
      <c r="M34" s="125"/>
      <c r="N34" s="125"/>
      <c r="O34" s="125"/>
      <c r="P34" s="125"/>
      <c r="Q34" s="125"/>
      <c r="R34" s="125"/>
      <c r="S34" s="125"/>
      <c r="T34" s="125"/>
    </row>
    <row r="35" spans="1:20">
      <c r="A35" s="125">
        <v>7329</v>
      </c>
      <c r="B35" s="125" t="s">
        <v>821</v>
      </c>
      <c r="C35" s="125" t="s">
        <v>875</v>
      </c>
      <c r="D35" s="132">
        <v>0</v>
      </c>
      <c r="E35" s="131">
        <v>0</v>
      </c>
      <c r="F35" s="131">
        <v>0</v>
      </c>
      <c r="G35" s="131">
        <v>0</v>
      </c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25"/>
      <c r="S35" s="125"/>
      <c r="T35" s="125"/>
    </row>
    <row r="36" spans="1:20">
      <c r="A36" s="125"/>
      <c r="B36" s="125"/>
      <c r="C36" s="125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25"/>
      <c r="Q36" s="125"/>
      <c r="R36" s="125"/>
      <c r="S36" s="125"/>
      <c r="T36" s="125"/>
    </row>
    <row r="37" spans="1:20">
      <c r="A37" s="125"/>
      <c r="B37" s="126" t="s">
        <v>822</v>
      </c>
      <c r="C37" s="126"/>
      <c r="D37" s="130">
        <v>0</v>
      </c>
      <c r="E37" s="130">
        <v>0</v>
      </c>
      <c r="F37" s="130">
        <v>0</v>
      </c>
      <c r="G37" s="130">
        <v>0</v>
      </c>
      <c r="H37" s="125"/>
      <c r="I37" s="125"/>
      <c r="J37" s="125"/>
      <c r="K37" s="125"/>
      <c r="L37" s="125"/>
      <c r="M37" s="125"/>
      <c r="N37" s="125"/>
      <c r="O37" s="125"/>
      <c r="P37" s="125"/>
      <c r="Q37" s="125"/>
      <c r="R37" s="125"/>
      <c r="S37" s="125"/>
      <c r="T37" s="125"/>
    </row>
    <row r="38" spans="1:20">
      <c r="A38" s="125">
        <v>7331</v>
      </c>
      <c r="B38" s="125" t="s">
        <v>823</v>
      </c>
      <c r="C38" s="125" t="s">
        <v>877</v>
      </c>
      <c r="D38" s="132">
        <v>0</v>
      </c>
      <c r="E38" s="131">
        <v>0</v>
      </c>
      <c r="F38" s="131">
        <v>0</v>
      </c>
      <c r="G38" s="131">
        <v>0</v>
      </c>
      <c r="H38" s="125"/>
      <c r="I38" s="125"/>
      <c r="J38" s="125"/>
      <c r="K38" s="125"/>
      <c r="L38" s="125"/>
      <c r="M38" s="125"/>
      <c r="N38" s="125"/>
      <c r="O38" s="125"/>
      <c r="P38" s="125"/>
      <c r="Q38" s="125"/>
      <c r="R38" s="125"/>
      <c r="S38" s="125"/>
      <c r="T38" s="125"/>
    </row>
    <row r="39" spans="1:20">
      <c r="A39" s="125">
        <v>7333</v>
      </c>
      <c r="B39" s="125" t="s">
        <v>824</v>
      </c>
      <c r="C39" s="125" t="s">
        <v>878</v>
      </c>
      <c r="D39" s="132">
        <v>0</v>
      </c>
      <c r="E39" s="131">
        <v>0</v>
      </c>
      <c r="F39" s="131">
        <v>0</v>
      </c>
      <c r="G39" s="131">
        <v>0</v>
      </c>
      <c r="H39" s="125"/>
      <c r="I39" s="125"/>
      <c r="J39" s="125"/>
      <c r="K39" s="125"/>
      <c r="L39" s="125"/>
      <c r="M39" s="125"/>
      <c r="N39" s="125"/>
      <c r="O39" s="125"/>
      <c r="P39" s="125"/>
      <c r="Q39" s="125"/>
      <c r="R39" s="125"/>
      <c r="S39" s="125"/>
      <c r="T39" s="125"/>
    </row>
    <row r="40" spans="1:20">
      <c r="A40" s="125">
        <v>7335</v>
      </c>
      <c r="B40" s="125" t="s">
        <v>825</v>
      </c>
      <c r="C40" s="125" t="s">
        <v>879</v>
      </c>
      <c r="D40" s="132">
        <v>0</v>
      </c>
      <c r="E40" s="131">
        <v>0</v>
      </c>
      <c r="F40" s="131">
        <v>0</v>
      </c>
      <c r="G40" s="131">
        <v>0</v>
      </c>
      <c r="H40" s="125"/>
      <c r="I40" s="125"/>
      <c r="J40" s="125"/>
      <c r="K40" s="125"/>
      <c r="L40" s="125"/>
      <c r="M40" s="125"/>
      <c r="N40" s="125"/>
      <c r="O40" s="125"/>
      <c r="P40" s="125"/>
      <c r="Q40" s="125"/>
      <c r="R40" s="125"/>
      <c r="S40" s="125"/>
      <c r="T40" s="125"/>
    </row>
    <row r="41" spans="1:20">
      <c r="A41" s="125">
        <v>7336</v>
      </c>
      <c r="B41" s="125" t="s">
        <v>826</v>
      </c>
      <c r="C41" s="125" t="s">
        <v>878</v>
      </c>
      <c r="D41" s="132">
        <v>15</v>
      </c>
      <c r="E41" s="131">
        <v>0</v>
      </c>
      <c r="F41" s="131">
        <v>0</v>
      </c>
      <c r="G41" s="131">
        <v>0</v>
      </c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</row>
    <row r="42" spans="1:20">
      <c r="A42" s="125">
        <v>7337</v>
      </c>
      <c r="B42" s="125" t="s">
        <v>827</v>
      </c>
      <c r="C42" s="125" t="s">
        <v>878</v>
      </c>
      <c r="D42" s="132">
        <v>0</v>
      </c>
      <c r="E42" s="131">
        <v>0</v>
      </c>
      <c r="F42" s="131">
        <v>0</v>
      </c>
      <c r="G42" s="131">
        <v>0</v>
      </c>
      <c r="H42" s="125"/>
      <c r="I42" s="125"/>
      <c r="J42" s="125"/>
      <c r="K42" s="125"/>
      <c r="L42" s="125"/>
      <c r="M42" s="125"/>
      <c r="N42" s="125"/>
      <c r="O42" s="125"/>
      <c r="P42" s="125"/>
      <c r="Q42" s="125"/>
      <c r="R42" s="125"/>
      <c r="S42" s="125"/>
      <c r="T42" s="125"/>
    </row>
    <row r="43" spans="1:20">
      <c r="A43" s="125">
        <v>7338</v>
      </c>
      <c r="B43" s="125" t="s">
        <v>828</v>
      </c>
      <c r="C43" s="125" t="s">
        <v>878</v>
      </c>
      <c r="D43" s="132">
        <v>0</v>
      </c>
      <c r="E43" s="131">
        <v>0</v>
      </c>
      <c r="F43" s="131">
        <v>0</v>
      </c>
      <c r="G43" s="131">
        <v>0</v>
      </c>
      <c r="H43" s="125"/>
      <c r="I43" s="125"/>
      <c r="J43" s="125"/>
      <c r="K43" s="125"/>
      <c r="L43" s="125"/>
      <c r="M43" s="125"/>
      <c r="N43" s="125"/>
      <c r="O43" s="125"/>
      <c r="P43" s="125"/>
      <c r="Q43" s="125"/>
      <c r="R43" s="125"/>
      <c r="S43" s="125"/>
      <c r="T43" s="125"/>
    </row>
    <row r="44" spans="1:20">
      <c r="A44" s="125"/>
      <c r="B44" s="125"/>
      <c r="C44" s="125"/>
      <c r="D44" s="125"/>
      <c r="E44" s="125"/>
      <c r="F44" s="125"/>
      <c r="G44" s="125"/>
      <c r="H44" s="125"/>
      <c r="I44" s="125"/>
      <c r="J44" s="125"/>
      <c r="K44" s="125"/>
      <c r="L44" s="125"/>
      <c r="M44" s="125"/>
      <c r="N44" s="125"/>
      <c r="O44" s="125"/>
      <c r="P44" s="125"/>
      <c r="Q44" s="125"/>
      <c r="R44" s="125"/>
      <c r="S44" s="125"/>
      <c r="T44" s="125"/>
    </row>
    <row r="45" spans="1:20">
      <c r="A45" s="125"/>
      <c r="B45" s="126" t="s">
        <v>829</v>
      </c>
      <c r="C45" s="126"/>
      <c r="D45" s="130">
        <v>0</v>
      </c>
      <c r="E45" s="130">
        <v>0</v>
      </c>
      <c r="F45" s="130">
        <v>0</v>
      </c>
      <c r="G45" s="130">
        <v>0</v>
      </c>
      <c r="H45" s="125"/>
      <c r="I45" s="125"/>
      <c r="J45" s="125"/>
      <c r="K45" s="125"/>
      <c r="L45" s="125"/>
      <c r="M45" s="125"/>
      <c r="N45" s="125"/>
      <c r="O45" s="125"/>
      <c r="P45" s="125"/>
      <c r="Q45" s="125"/>
      <c r="R45" s="125"/>
      <c r="S45" s="125"/>
      <c r="T45" s="125"/>
    </row>
    <row r="46" spans="1:20">
      <c r="A46" s="125">
        <v>7342</v>
      </c>
      <c r="B46" s="125" t="s">
        <v>830</v>
      </c>
      <c r="C46" s="125" t="s">
        <v>880</v>
      </c>
      <c r="D46" s="132">
        <v>0</v>
      </c>
      <c r="E46" s="131">
        <v>0</v>
      </c>
      <c r="F46" s="131">
        <v>0</v>
      </c>
      <c r="G46" s="131">
        <v>0</v>
      </c>
      <c r="H46" s="125"/>
      <c r="I46" s="125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</row>
    <row r="47" spans="1:20">
      <c r="A47" s="125">
        <v>7343</v>
      </c>
      <c r="B47" s="125" t="s">
        <v>831</v>
      </c>
      <c r="C47" s="125"/>
      <c r="D47" s="132">
        <v>0</v>
      </c>
      <c r="E47" s="131">
        <v>0</v>
      </c>
      <c r="F47" s="131">
        <v>0</v>
      </c>
      <c r="G47" s="131">
        <v>0</v>
      </c>
      <c r="H47" s="125"/>
      <c r="I47" s="125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</row>
    <row r="48" spans="1:20">
      <c r="A48" s="125">
        <v>7344</v>
      </c>
      <c r="B48" s="125" t="s">
        <v>832</v>
      </c>
      <c r="C48" s="125" t="s">
        <v>881</v>
      </c>
      <c r="D48" s="132">
        <v>0</v>
      </c>
      <c r="E48" s="131">
        <v>0</v>
      </c>
      <c r="F48" s="131">
        <v>0</v>
      </c>
      <c r="G48" s="131">
        <v>0</v>
      </c>
      <c r="H48" s="125"/>
      <c r="I48" s="125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</row>
    <row r="49" spans="1:20">
      <c r="A49" s="125"/>
      <c r="B49" s="125"/>
      <c r="C49" s="125"/>
      <c r="D49" s="125"/>
      <c r="E49" s="125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</row>
    <row r="50" spans="1:20">
      <c r="A50" s="126"/>
      <c r="B50" s="126" t="s">
        <v>833</v>
      </c>
      <c r="C50" s="126"/>
      <c r="D50" s="130">
        <v>7</v>
      </c>
      <c r="E50" s="130">
        <v>7</v>
      </c>
      <c r="F50" s="130">
        <v>0</v>
      </c>
      <c r="G50" s="131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</row>
    <row r="51" spans="1:20">
      <c r="A51" s="125">
        <v>7351</v>
      </c>
      <c r="B51" s="125" t="s">
        <v>834</v>
      </c>
      <c r="C51" s="125" t="s">
        <v>882</v>
      </c>
      <c r="D51" s="132">
        <v>2</v>
      </c>
      <c r="E51" s="131">
        <v>2</v>
      </c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  <c r="R51" s="125"/>
      <c r="S51" s="125"/>
      <c r="T51" s="125"/>
    </row>
    <row r="52" spans="1:20">
      <c r="A52" s="125">
        <v>7354</v>
      </c>
      <c r="B52" s="125" t="s">
        <v>835</v>
      </c>
      <c r="C52" s="125" t="s">
        <v>883</v>
      </c>
      <c r="D52" s="132">
        <v>5</v>
      </c>
      <c r="E52" s="131">
        <v>5</v>
      </c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  <c r="R52" s="125"/>
      <c r="S52" s="125"/>
      <c r="T52" s="125"/>
    </row>
    <row r="53" spans="1:20">
      <c r="A53" s="125">
        <v>7355</v>
      </c>
      <c r="B53" s="125" t="s">
        <v>836</v>
      </c>
      <c r="C53" s="125" t="s">
        <v>884</v>
      </c>
      <c r="D53" s="132">
        <v>0</v>
      </c>
      <c r="E53" s="131">
        <v>0</v>
      </c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  <c r="R53" s="125"/>
      <c r="S53" s="125"/>
      <c r="T53" s="125"/>
    </row>
    <row r="54" spans="1:20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  <c r="R54" s="125"/>
      <c r="S54" s="125"/>
      <c r="T54" s="125"/>
    </row>
    <row r="55" spans="1:20">
      <c r="A55" s="125"/>
      <c r="B55" s="126" t="s">
        <v>837</v>
      </c>
      <c r="C55" s="126"/>
      <c r="D55" s="130">
        <v>0</v>
      </c>
      <c r="E55" s="130">
        <v>0</v>
      </c>
      <c r="F55" s="130">
        <v>0</v>
      </c>
      <c r="G55" s="131"/>
      <c r="H55" s="125"/>
      <c r="I55" s="125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</row>
    <row r="56" spans="1:20">
      <c r="A56" s="125">
        <v>7362</v>
      </c>
      <c r="B56" s="125" t="s">
        <v>838</v>
      </c>
      <c r="C56" s="125"/>
      <c r="D56" s="132">
        <v>0</v>
      </c>
      <c r="E56" s="131">
        <v>0</v>
      </c>
      <c r="F56" s="125"/>
      <c r="G56" s="125"/>
      <c r="H56" s="125"/>
      <c r="I56" s="125"/>
      <c r="J56" s="125"/>
      <c r="K56" s="125"/>
      <c r="L56" s="125"/>
      <c r="M56" s="125"/>
      <c r="N56" s="125"/>
      <c r="O56" s="125"/>
      <c r="P56" s="125"/>
      <c r="Q56" s="125"/>
      <c r="R56" s="125"/>
      <c r="S56" s="125"/>
      <c r="T56" s="125"/>
    </row>
    <row r="57" spans="1:20">
      <c r="A57" s="125"/>
      <c r="B57" s="125"/>
      <c r="C57" s="125"/>
      <c r="D57" s="125"/>
      <c r="E57" s="125"/>
      <c r="F57" s="125"/>
      <c r="G57" s="125"/>
      <c r="H57" s="125"/>
      <c r="I57" s="125"/>
      <c r="J57" s="125"/>
      <c r="K57" s="125"/>
      <c r="L57" s="125"/>
      <c r="M57" s="125"/>
      <c r="N57" s="125"/>
      <c r="O57" s="125"/>
      <c r="P57" s="125"/>
      <c r="Q57" s="125"/>
      <c r="R57" s="125"/>
      <c r="S57" s="125"/>
      <c r="T57" s="125"/>
    </row>
    <row r="58" spans="1:20">
      <c r="A58" s="125"/>
      <c r="B58" s="126" t="s">
        <v>839</v>
      </c>
      <c r="C58" s="126"/>
      <c r="D58" s="130">
        <v>0</v>
      </c>
      <c r="E58" s="130">
        <v>0</v>
      </c>
      <c r="F58" s="130">
        <v>0</v>
      </c>
      <c r="G58" s="130">
        <v>0</v>
      </c>
      <c r="H58" s="125"/>
      <c r="I58" s="125"/>
      <c r="J58" s="125"/>
      <c r="K58" s="125"/>
      <c r="L58" s="125"/>
      <c r="M58" s="125"/>
      <c r="N58" s="125"/>
      <c r="O58" s="125"/>
      <c r="P58" s="125"/>
      <c r="Q58" s="125"/>
      <c r="R58" s="125"/>
      <c r="S58" s="125"/>
      <c r="T58" s="125"/>
    </row>
    <row r="59" spans="1:20">
      <c r="A59" s="125">
        <v>7371</v>
      </c>
      <c r="B59" s="125" t="s">
        <v>840</v>
      </c>
      <c r="C59" s="125"/>
      <c r="D59" s="132">
        <v>0</v>
      </c>
      <c r="E59" s="131">
        <v>0</v>
      </c>
      <c r="F59" s="125"/>
      <c r="G59" s="125"/>
      <c r="H59" s="125"/>
      <c r="I59" s="125"/>
      <c r="J59" s="125"/>
      <c r="K59" s="125"/>
      <c r="L59" s="125"/>
      <c r="M59" s="125"/>
      <c r="N59" s="125"/>
      <c r="O59" s="125"/>
      <c r="P59" s="125"/>
      <c r="Q59" s="125"/>
      <c r="R59" s="125"/>
      <c r="S59" s="125"/>
      <c r="T59" s="125"/>
    </row>
    <row r="60" spans="1:20">
      <c r="A60" s="125"/>
      <c r="B60" s="125"/>
      <c r="C60" s="125"/>
      <c r="D60" s="125"/>
      <c r="E60" s="125"/>
      <c r="F60" s="125"/>
      <c r="G60" s="125"/>
      <c r="H60" s="125"/>
      <c r="I60" s="125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</row>
    <row r="61" spans="1:20">
      <c r="A61" s="125"/>
      <c r="B61" s="126" t="s">
        <v>841</v>
      </c>
      <c r="C61" s="126"/>
      <c r="D61" s="130">
        <v>0</v>
      </c>
      <c r="E61" s="130">
        <v>0</v>
      </c>
      <c r="F61" s="130">
        <v>0</v>
      </c>
      <c r="G61" s="130">
        <v>0</v>
      </c>
      <c r="H61" s="125"/>
      <c r="I61" s="125"/>
      <c r="J61" s="125"/>
      <c r="K61" s="125"/>
      <c r="L61" s="125"/>
      <c r="M61" s="125"/>
      <c r="N61" s="125"/>
      <c r="O61" s="125"/>
      <c r="P61" s="125"/>
      <c r="Q61" s="125"/>
      <c r="R61" s="125"/>
      <c r="S61" s="125"/>
      <c r="T61" s="125"/>
    </row>
    <row r="62" spans="1:20">
      <c r="A62" s="125">
        <v>7381</v>
      </c>
      <c r="B62" s="125"/>
      <c r="C62" s="125"/>
      <c r="D62" s="132">
        <v>0</v>
      </c>
      <c r="E62" s="125"/>
      <c r="F62" s="125"/>
      <c r="G62" s="125"/>
      <c r="H62" s="125"/>
      <c r="I62" s="125"/>
      <c r="J62" s="125"/>
      <c r="K62" s="125"/>
      <c r="L62" s="125"/>
      <c r="M62" s="125"/>
      <c r="N62" s="125"/>
      <c r="O62" s="125"/>
      <c r="P62" s="125"/>
      <c r="Q62" s="125"/>
      <c r="R62" s="125"/>
      <c r="S62" s="125"/>
      <c r="T62" s="125"/>
    </row>
    <row r="63" spans="1:20">
      <c r="A63" s="125"/>
      <c r="B63" s="125"/>
      <c r="C63" s="125"/>
      <c r="D63" s="125"/>
      <c r="E63" s="125"/>
      <c r="F63" s="125"/>
      <c r="G63" s="125"/>
      <c r="H63" s="125"/>
      <c r="I63" s="125"/>
      <c r="J63" s="125"/>
      <c r="K63" s="125"/>
      <c r="L63" s="125"/>
      <c r="M63" s="125"/>
      <c r="N63" s="125"/>
      <c r="O63" s="125"/>
      <c r="P63" s="125"/>
      <c r="Q63" s="125"/>
      <c r="R63" s="125"/>
      <c r="S63" s="125"/>
      <c r="T63" s="125"/>
    </row>
    <row r="64" spans="1:20">
      <c r="A64" s="125"/>
      <c r="B64" s="126" t="s">
        <v>842</v>
      </c>
      <c r="C64" s="126"/>
      <c r="D64" s="130">
        <v>0</v>
      </c>
      <c r="E64" s="130">
        <v>0</v>
      </c>
      <c r="F64" s="130">
        <v>0</v>
      </c>
      <c r="G64" s="130">
        <v>0</v>
      </c>
      <c r="H64" s="125"/>
      <c r="I64" s="125"/>
      <c r="J64" s="125"/>
      <c r="K64" s="125"/>
      <c r="L64" s="125"/>
      <c r="M64" s="125"/>
      <c r="N64" s="125"/>
      <c r="O64" s="125"/>
      <c r="P64" s="125"/>
      <c r="Q64" s="125"/>
      <c r="R64" s="125"/>
      <c r="S64" s="125"/>
      <c r="T64" s="125"/>
    </row>
    <row r="65" spans="1:20">
      <c r="A65" s="125">
        <v>7411</v>
      </c>
      <c r="B65" s="125" t="s">
        <v>843</v>
      </c>
      <c r="C65" s="125" t="s">
        <v>885</v>
      </c>
      <c r="D65" s="132">
        <v>0</v>
      </c>
      <c r="E65" s="131">
        <v>0</v>
      </c>
      <c r="F65" s="131">
        <v>0</v>
      </c>
      <c r="G65" s="131">
        <v>0</v>
      </c>
      <c r="H65" s="125"/>
      <c r="I65" s="125"/>
      <c r="J65" s="125"/>
      <c r="K65" s="125"/>
      <c r="L65" s="125"/>
      <c r="M65" s="125"/>
      <c r="N65" s="125"/>
      <c r="O65" s="125"/>
      <c r="P65" s="125"/>
      <c r="Q65" s="125"/>
      <c r="R65" s="125"/>
      <c r="S65" s="125"/>
      <c r="T65" s="125"/>
    </row>
    <row r="66" spans="1:20">
      <c r="A66" s="125">
        <v>7413</v>
      </c>
      <c r="B66" s="125" t="s">
        <v>844</v>
      </c>
      <c r="C66" s="125" t="s">
        <v>886</v>
      </c>
      <c r="D66" s="132">
        <v>0</v>
      </c>
      <c r="E66" s="131">
        <v>0</v>
      </c>
      <c r="F66" s="131">
        <v>0</v>
      </c>
      <c r="G66" s="131">
        <v>0</v>
      </c>
      <c r="H66" s="125"/>
      <c r="I66" s="125"/>
      <c r="J66" s="125"/>
      <c r="K66" s="125"/>
      <c r="L66" s="125"/>
      <c r="M66" s="125"/>
      <c r="N66" s="125"/>
      <c r="O66" s="125"/>
      <c r="P66" s="125"/>
      <c r="Q66" s="125"/>
      <c r="R66" s="125"/>
      <c r="S66" s="125"/>
      <c r="T66" s="125"/>
    </row>
    <row r="67" spans="1:20">
      <c r="A67" s="125">
        <v>7421</v>
      </c>
      <c r="B67" s="125" t="s">
        <v>845</v>
      </c>
      <c r="C67" s="125"/>
      <c r="D67" s="132">
        <v>0</v>
      </c>
      <c r="E67" s="131">
        <v>0</v>
      </c>
      <c r="F67" s="125"/>
      <c r="G67" s="125"/>
      <c r="H67" s="125"/>
      <c r="I67" s="125"/>
      <c r="J67" s="125"/>
      <c r="K67" s="125"/>
      <c r="L67" s="125"/>
      <c r="M67" s="125"/>
      <c r="N67" s="125"/>
      <c r="O67" s="125"/>
      <c r="P67" s="125"/>
      <c r="Q67" s="125"/>
      <c r="R67" s="125"/>
      <c r="S67" s="125"/>
      <c r="T67" s="125"/>
    </row>
    <row r="68" spans="1:20">
      <c r="A68" s="125">
        <v>7423</v>
      </c>
      <c r="B68" s="125" t="s">
        <v>846</v>
      </c>
      <c r="C68" s="125"/>
      <c r="D68" s="132">
        <v>0</v>
      </c>
      <c r="E68" s="131">
        <v>0</v>
      </c>
      <c r="F68" s="125"/>
      <c r="G68" s="125"/>
      <c r="H68" s="125"/>
      <c r="I68" s="125"/>
      <c r="J68" s="125"/>
      <c r="K68" s="125"/>
      <c r="L68" s="125"/>
      <c r="M68" s="125"/>
      <c r="N68" s="125"/>
      <c r="O68" s="125"/>
      <c r="P68" s="125"/>
      <c r="Q68" s="125"/>
      <c r="R68" s="125"/>
      <c r="S68" s="125"/>
      <c r="T68" s="125"/>
    </row>
    <row r="69" spans="1:20">
      <c r="A69" s="125">
        <v>7431</v>
      </c>
      <c r="B69" s="125" t="s">
        <v>847</v>
      </c>
      <c r="C69" s="125" t="s">
        <v>887</v>
      </c>
      <c r="D69" s="132">
        <v>0</v>
      </c>
      <c r="E69" s="131">
        <v>0</v>
      </c>
      <c r="F69" s="125"/>
      <c r="G69" s="125"/>
      <c r="H69" s="125"/>
      <c r="I69" s="125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</row>
    <row r="70" spans="1:20">
      <c r="A70" s="125">
        <v>7433</v>
      </c>
      <c r="B70" s="125" t="s">
        <v>848</v>
      </c>
      <c r="C70" s="125"/>
      <c r="D70" s="132">
        <v>0</v>
      </c>
      <c r="E70" s="131">
        <v>0</v>
      </c>
      <c r="F70" s="125"/>
      <c r="G70" s="125"/>
      <c r="H70" s="125"/>
      <c r="I70" s="125"/>
      <c r="J70" s="125"/>
      <c r="K70" s="125"/>
      <c r="L70" s="125"/>
      <c r="M70" s="125"/>
      <c r="N70" s="125"/>
      <c r="O70" s="125"/>
      <c r="P70" s="125"/>
      <c r="Q70" s="125"/>
      <c r="R70" s="125"/>
      <c r="S70" s="125"/>
      <c r="T70" s="125"/>
    </row>
    <row r="71" spans="1:20">
      <c r="A71" s="125">
        <v>7434</v>
      </c>
      <c r="B71" s="125" t="s">
        <v>849</v>
      </c>
      <c r="C71" s="125"/>
      <c r="D71" s="132">
        <v>0</v>
      </c>
      <c r="E71" s="131">
        <v>0</v>
      </c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5"/>
      <c r="R71" s="125"/>
      <c r="S71" s="125"/>
      <c r="T71" s="125"/>
    </row>
    <row r="72" spans="1:20">
      <c r="A72" s="125"/>
      <c r="B72" s="125"/>
      <c r="C72" s="125"/>
      <c r="D72" s="125"/>
      <c r="E72" s="125"/>
      <c r="F72" s="125"/>
      <c r="G72" s="125"/>
      <c r="H72" s="125"/>
      <c r="I72" s="125"/>
      <c r="J72" s="125"/>
      <c r="K72" s="125"/>
      <c r="L72" s="125"/>
      <c r="M72" s="125"/>
      <c r="N72" s="125"/>
      <c r="O72" s="125"/>
      <c r="P72" s="125"/>
      <c r="Q72" s="125"/>
      <c r="R72" s="125"/>
      <c r="S72" s="125"/>
      <c r="T72" s="125"/>
    </row>
    <row r="73" spans="1:20">
      <c r="A73" s="125"/>
      <c r="B73" s="126" t="s">
        <v>850</v>
      </c>
      <c r="C73" s="126"/>
      <c r="D73" s="130">
        <v>0</v>
      </c>
      <c r="E73" s="130">
        <v>0</v>
      </c>
      <c r="F73" s="130">
        <v>0</v>
      </c>
      <c r="G73" s="125"/>
      <c r="H73" s="125"/>
      <c r="I73" s="125"/>
      <c r="J73" s="125"/>
      <c r="K73" s="125"/>
      <c r="L73" s="125"/>
      <c r="M73" s="125"/>
      <c r="N73" s="125"/>
      <c r="O73" s="125"/>
      <c r="P73" s="125"/>
      <c r="Q73" s="125"/>
      <c r="R73" s="125"/>
      <c r="S73" s="125"/>
      <c r="T73" s="125"/>
    </row>
    <row r="74" spans="1:20">
      <c r="A74" s="125">
        <v>7511</v>
      </c>
      <c r="B74" s="133" t="s">
        <v>851</v>
      </c>
      <c r="C74" s="133"/>
      <c r="D74" s="132">
        <v>0</v>
      </c>
      <c r="E74" s="131">
        <v>0</v>
      </c>
      <c r="F74" s="131">
        <v>0</v>
      </c>
      <c r="G74" s="125"/>
      <c r="H74" s="125"/>
      <c r="I74" s="125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</row>
    <row r="75" spans="1:20">
      <c r="A75" s="125">
        <v>7530</v>
      </c>
      <c r="B75" s="133" t="s">
        <v>852</v>
      </c>
      <c r="C75" s="133"/>
      <c r="D75" s="131">
        <v>0</v>
      </c>
      <c r="E75" s="131">
        <v>0</v>
      </c>
      <c r="F75" s="131">
        <v>0</v>
      </c>
      <c r="G75" s="125"/>
      <c r="H75" s="125"/>
      <c r="I75" s="125"/>
      <c r="J75" s="125"/>
      <c r="K75" s="125"/>
      <c r="L75" s="125"/>
      <c r="M75" s="125"/>
      <c r="N75" s="125"/>
      <c r="O75" s="125"/>
      <c r="P75" s="125"/>
      <c r="Q75" s="125"/>
      <c r="R75" s="125"/>
      <c r="S75" s="125"/>
      <c r="T75" s="125"/>
    </row>
    <row r="76" spans="1:20">
      <c r="A76" s="125"/>
      <c r="B76" s="133" t="s">
        <v>853</v>
      </c>
      <c r="C76" s="133"/>
      <c r="D76" s="132">
        <v>0</v>
      </c>
      <c r="E76" s="131">
        <v>0</v>
      </c>
      <c r="F76" s="131">
        <v>0</v>
      </c>
      <c r="G76" s="125"/>
      <c r="H76" s="125"/>
      <c r="I76" s="125"/>
      <c r="J76" s="125"/>
      <c r="K76" s="125"/>
      <c r="L76" s="125"/>
      <c r="M76" s="125"/>
      <c r="N76" s="125"/>
      <c r="O76" s="125"/>
      <c r="P76" s="125"/>
      <c r="Q76" s="125"/>
      <c r="R76" s="125"/>
      <c r="S76" s="125"/>
      <c r="T76" s="125"/>
    </row>
    <row r="77" spans="1:20">
      <c r="A77" s="125"/>
      <c r="B77" s="133" t="s">
        <v>854</v>
      </c>
      <c r="C77" s="133"/>
      <c r="D77" s="132">
        <v>0</v>
      </c>
      <c r="E77" s="131">
        <v>0</v>
      </c>
      <c r="F77" s="131">
        <v>0</v>
      </c>
      <c r="G77" s="125"/>
      <c r="H77" s="125"/>
      <c r="I77" s="125"/>
      <c r="J77" s="125"/>
      <c r="K77" s="125"/>
      <c r="L77" s="125"/>
      <c r="M77" s="125"/>
      <c r="N77" s="125"/>
      <c r="O77" s="125"/>
      <c r="P77" s="125"/>
      <c r="Q77" s="125"/>
      <c r="R77" s="125"/>
      <c r="S77" s="125"/>
      <c r="T77" s="125"/>
    </row>
    <row r="78" spans="1:20">
      <c r="A78" s="125"/>
      <c r="B78" s="133" t="s">
        <v>855</v>
      </c>
      <c r="C78" s="133"/>
      <c r="D78" s="132">
        <v>0</v>
      </c>
      <c r="E78" s="131">
        <v>0</v>
      </c>
      <c r="F78" s="131">
        <v>0</v>
      </c>
      <c r="G78" s="125"/>
      <c r="H78" s="125"/>
      <c r="I78" s="125"/>
      <c r="J78" s="125"/>
      <c r="K78" s="125"/>
      <c r="L78" s="125"/>
      <c r="M78" s="125"/>
      <c r="N78" s="125"/>
      <c r="O78" s="125"/>
      <c r="P78" s="125"/>
      <c r="Q78" s="125"/>
      <c r="R78" s="125"/>
      <c r="S78" s="125"/>
      <c r="T78" s="125"/>
    </row>
    <row r="79" spans="1:20">
      <c r="A79" s="125"/>
      <c r="B79" s="133" t="s">
        <v>856</v>
      </c>
      <c r="C79" s="133"/>
      <c r="D79" s="132">
        <v>0</v>
      </c>
      <c r="E79" s="131">
        <v>0</v>
      </c>
      <c r="F79" s="131">
        <v>0</v>
      </c>
      <c r="G79" s="125"/>
      <c r="H79" s="125"/>
      <c r="I79" s="125"/>
      <c r="J79" s="125"/>
      <c r="K79" s="125"/>
      <c r="L79" s="125"/>
      <c r="M79" s="125"/>
      <c r="N79" s="125"/>
      <c r="O79" s="125"/>
      <c r="P79" s="125"/>
      <c r="Q79" s="125"/>
      <c r="R79" s="125"/>
      <c r="S79" s="125"/>
      <c r="T79" s="125"/>
    </row>
    <row r="80" spans="1:20">
      <c r="A80" s="125"/>
      <c r="B80" s="133" t="s">
        <v>857</v>
      </c>
      <c r="C80" s="133"/>
      <c r="D80" s="132">
        <v>0</v>
      </c>
      <c r="E80" s="131">
        <v>0</v>
      </c>
      <c r="F80" s="131">
        <v>0</v>
      </c>
      <c r="G80" s="125"/>
      <c r="H80" s="125"/>
      <c r="I80" s="125"/>
      <c r="J80" s="125"/>
      <c r="K80" s="125"/>
      <c r="L80" s="125"/>
      <c r="M80" s="125"/>
      <c r="N80" s="125"/>
      <c r="O80" s="125"/>
      <c r="P80" s="125"/>
      <c r="Q80" s="125"/>
      <c r="R80" s="125"/>
      <c r="S80" s="125"/>
      <c r="T80" s="125"/>
    </row>
    <row r="81" spans="1:20">
      <c r="A81" s="125">
        <v>7560</v>
      </c>
      <c r="B81" s="133" t="s">
        <v>858</v>
      </c>
      <c r="C81" s="133"/>
      <c r="D81" s="131">
        <v>0</v>
      </c>
      <c r="E81" s="131">
        <v>0</v>
      </c>
      <c r="F81" s="131">
        <v>0</v>
      </c>
      <c r="G81" s="125"/>
      <c r="H81" s="125"/>
      <c r="I81" s="125"/>
      <c r="J81" s="125"/>
      <c r="K81" s="125"/>
      <c r="L81" s="125"/>
      <c r="M81" s="125"/>
      <c r="N81" s="125"/>
      <c r="O81" s="125"/>
      <c r="P81" s="125"/>
      <c r="Q81" s="125"/>
      <c r="R81" s="125"/>
      <c r="S81" s="125"/>
      <c r="T81" s="125"/>
    </row>
    <row r="82" spans="1:20">
      <c r="A82" s="125"/>
      <c r="B82" s="125" t="s">
        <v>859</v>
      </c>
      <c r="C82" s="125"/>
      <c r="D82" s="132">
        <v>0</v>
      </c>
      <c r="E82" s="131">
        <v>0</v>
      </c>
      <c r="F82" s="131">
        <v>0</v>
      </c>
      <c r="G82" s="125"/>
      <c r="H82" s="125"/>
      <c r="I82" s="125"/>
      <c r="J82" s="125"/>
      <c r="K82" s="125"/>
      <c r="L82" s="125"/>
      <c r="M82" s="125"/>
      <c r="N82" s="125"/>
      <c r="O82" s="125"/>
      <c r="P82" s="125"/>
      <c r="Q82" s="125"/>
      <c r="R82" s="125"/>
      <c r="S82" s="125"/>
      <c r="T82" s="125"/>
    </row>
    <row r="83" spans="1:20">
      <c r="A83" s="125"/>
      <c r="B83" s="125" t="s">
        <v>860</v>
      </c>
      <c r="C83" s="125"/>
      <c r="D83" s="132">
        <v>0</v>
      </c>
      <c r="E83" s="131">
        <v>0</v>
      </c>
      <c r="F83" s="131">
        <v>0</v>
      </c>
      <c r="G83" s="125"/>
      <c r="H83" s="125"/>
      <c r="I83" s="125"/>
      <c r="J83" s="125"/>
      <c r="K83" s="125"/>
      <c r="L83" s="125"/>
      <c r="M83" s="125"/>
      <c r="N83" s="125"/>
      <c r="O83" s="125"/>
      <c r="P83" s="125"/>
      <c r="Q83" s="125"/>
      <c r="R83" s="125"/>
      <c r="S83" s="125"/>
      <c r="T83" s="125"/>
    </row>
    <row r="84" spans="1:20">
      <c r="A84" s="125">
        <v>7581</v>
      </c>
      <c r="B84" s="125" t="s">
        <v>861</v>
      </c>
      <c r="C84" s="125"/>
      <c r="D84" s="132">
        <v>0</v>
      </c>
      <c r="E84" s="131">
        <v>0</v>
      </c>
      <c r="F84" s="131">
        <v>0</v>
      </c>
      <c r="G84" s="125"/>
      <c r="H84" s="125"/>
      <c r="I84" s="125"/>
      <c r="J84" s="125"/>
      <c r="K84" s="125"/>
      <c r="L84" s="125"/>
      <c r="M84" s="125"/>
      <c r="N84" s="125"/>
      <c r="O84" s="125"/>
      <c r="P84" s="125"/>
      <c r="Q84" s="125"/>
      <c r="R84" s="125"/>
      <c r="S84" s="125"/>
      <c r="T84" s="125"/>
    </row>
    <row r="85" spans="1:20">
      <c r="A85" s="125"/>
      <c r="B85" s="125"/>
      <c r="C85" s="125"/>
      <c r="D85" s="125"/>
      <c r="E85" s="125"/>
      <c r="F85" s="125"/>
      <c r="G85" s="125"/>
      <c r="H85" s="125"/>
      <c r="I85" s="125"/>
      <c r="J85" s="125"/>
      <c r="K85" s="125"/>
      <c r="L85" s="125"/>
      <c r="M85" s="125"/>
      <c r="N85" s="125"/>
      <c r="O85" s="125"/>
      <c r="P85" s="125"/>
      <c r="Q85" s="125"/>
      <c r="R85" s="125"/>
      <c r="S85" s="125"/>
      <c r="T85" s="125"/>
    </row>
    <row r="86" spans="1:20">
      <c r="A86" s="125"/>
      <c r="B86" s="126" t="s">
        <v>862</v>
      </c>
      <c r="C86" s="126"/>
      <c r="D86" s="130">
        <v>0</v>
      </c>
      <c r="E86" s="130">
        <v>0</v>
      </c>
      <c r="F86" s="130">
        <v>0</v>
      </c>
      <c r="G86" s="130">
        <v>0</v>
      </c>
      <c r="H86" s="125"/>
      <c r="I86" s="125"/>
      <c r="J86" s="125"/>
      <c r="K86" s="125"/>
      <c r="L86" s="125"/>
      <c r="M86" s="125"/>
      <c r="N86" s="125"/>
      <c r="O86" s="125"/>
      <c r="P86" s="125"/>
      <c r="Q86" s="125"/>
      <c r="R86" s="125"/>
      <c r="S86" s="125"/>
      <c r="T86" s="125"/>
    </row>
    <row r="87" spans="1:20">
      <c r="A87" s="125"/>
      <c r="B87" s="125" t="s">
        <v>863</v>
      </c>
      <c r="C87" s="125"/>
      <c r="D87" s="132">
        <v>0</v>
      </c>
      <c r="E87" s="125"/>
      <c r="F87" s="131">
        <v>0</v>
      </c>
      <c r="G87" s="131">
        <v>0</v>
      </c>
      <c r="H87" s="125"/>
      <c r="I87" s="125"/>
      <c r="J87" s="125"/>
      <c r="K87" s="125"/>
      <c r="L87" s="125"/>
      <c r="M87" s="125"/>
      <c r="N87" s="125"/>
      <c r="O87" s="125"/>
      <c r="P87" s="125"/>
      <c r="Q87" s="125"/>
      <c r="R87" s="125"/>
      <c r="S87" s="125"/>
      <c r="T87" s="125"/>
    </row>
    <row r="88" spans="1:20">
      <c r="A88" s="125"/>
      <c r="B88" s="125" t="s">
        <v>864</v>
      </c>
      <c r="C88" s="125"/>
      <c r="D88" s="132">
        <v>0</v>
      </c>
      <c r="E88" s="125"/>
      <c r="F88" s="131">
        <v>0</v>
      </c>
      <c r="G88" s="125"/>
      <c r="H88" s="125"/>
      <c r="I88" s="125"/>
      <c r="J88" s="125"/>
      <c r="K88" s="125"/>
      <c r="L88" s="125"/>
      <c r="M88" s="125"/>
      <c r="N88" s="125"/>
      <c r="O88" s="125"/>
      <c r="P88" s="125"/>
      <c r="Q88" s="125"/>
      <c r="R88" s="125"/>
      <c r="S88" s="125"/>
      <c r="T88" s="125"/>
    </row>
    <row r="89" spans="1:20">
      <c r="A89" s="125"/>
      <c r="B89" s="125" t="s">
        <v>865</v>
      </c>
      <c r="C89" s="125"/>
      <c r="D89" s="132">
        <v>0</v>
      </c>
      <c r="E89" s="125"/>
      <c r="F89" s="131">
        <v>0</v>
      </c>
      <c r="G89" s="125"/>
      <c r="H89" s="125"/>
      <c r="I89" s="125"/>
      <c r="J89" s="125"/>
      <c r="K89" s="125"/>
      <c r="L89" s="125"/>
      <c r="M89" s="125"/>
      <c r="N89" s="125"/>
      <c r="O89" s="125"/>
      <c r="P89" s="125"/>
      <c r="Q89" s="125"/>
      <c r="R89" s="125"/>
      <c r="S89" s="125"/>
      <c r="T89" s="125"/>
    </row>
    <row r="90" spans="1:20">
      <c r="A90" s="125"/>
      <c r="B90" s="125" t="s">
        <v>866</v>
      </c>
      <c r="C90" s="125"/>
      <c r="D90" s="132">
        <v>0</v>
      </c>
      <c r="E90" s="125"/>
      <c r="F90" s="131">
        <v>0</v>
      </c>
      <c r="G90" s="125"/>
      <c r="H90" s="125"/>
      <c r="I90" s="125"/>
      <c r="J90" s="125"/>
      <c r="K90" s="125"/>
      <c r="L90" s="125"/>
      <c r="M90" s="125"/>
      <c r="N90" s="125"/>
      <c r="O90" s="125"/>
      <c r="P90" s="125"/>
      <c r="Q90" s="125"/>
      <c r="R90" s="125"/>
      <c r="S90" s="125"/>
      <c r="T90" s="125"/>
    </row>
    <row r="91" spans="1:20">
      <c r="A91" s="125"/>
      <c r="B91" s="125"/>
      <c r="C91" s="125"/>
      <c r="D91" s="125"/>
      <c r="E91" s="125"/>
      <c r="F91" s="125"/>
      <c r="G91" s="125"/>
      <c r="H91" s="125"/>
      <c r="I91" s="125"/>
      <c r="J91" s="125"/>
      <c r="K91" s="125"/>
      <c r="L91" s="125"/>
      <c r="M91" s="125"/>
      <c r="N91" s="125"/>
      <c r="O91" s="125"/>
      <c r="P91" s="125"/>
      <c r="Q91" s="125"/>
      <c r="R91" s="125"/>
      <c r="S91" s="125"/>
      <c r="T91" s="125"/>
    </row>
    <row r="92" spans="1:20">
      <c r="A92" s="125"/>
      <c r="B92" s="125" t="s">
        <v>421</v>
      </c>
      <c r="C92" s="125"/>
      <c r="D92" s="131">
        <f>D14+D22+D27+D37+D45+D50+D55+D58+D64+D73</f>
        <v>37</v>
      </c>
      <c r="E92" s="125"/>
      <c r="F92" s="125"/>
      <c r="G92" s="125"/>
      <c r="H92" s="125"/>
      <c r="I92" s="125"/>
      <c r="J92" s="125"/>
      <c r="K92" s="125"/>
      <c r="L92" s="125"/>
      <c r="M92" s="125"/>
      <c r="N92" s="125"/>
      <c r="O92" s="125"/>
      <c r="P92" s="125"/>
      <c r="Q92" s="125"/>
      <c r="R92" s="125"/>
      <c r="S92" s="125"/>
      <c r="T92" s="125"/>
    </row>
    <row r="93" spans="1:20">
      <c r="A93" s="125"/>
      <c r="B93" s="125" t="s">
        <v>867</v>
      </c>
      <c r="C93" s="125"/>
      <c r="D93" s="131">
        <f>E14+E22+E27+E37+E45+E50+E55+E58+E64+E73</f>
        <v>37</v>
      </c>
      <c r="E93" s="125"/>
      <c r="F93" s="125" t="s">
        <v>868</v>
      </c>
      <c r="G93" s="132">
        <v>0</v>
      </c>
      <c r="H93" s="125"/>
      <c r="I93" s="125"/>
      <c r="J93" s="125"/>
      <c r="K93" s="125"/>
      <c r="L93" s="125"/>
      <c r="M93" s="125"/>
      <c r="N93" s="125"/>
      <c r="O93" s="125"/>
      <c r="P93" s="125"/>
      <c r="Q93" s="125"/>
      <c r="R93" s="125"/>
      <c r="S93" s="125"/>
      <c r="T93" s="125"/>
    </row>
    <row r="94" spans="1:20">
      <c r="A94" s="125"/>
      <c r="B94" s="125" t="s">
        <v>869</v>
      </c>
      <c r="C94" s="125"/>
      <c r="D94" s="131">
        <f>F14+F22+F27+F37+F45+F50+F55+F58+F64+F73</f>
        <v>30</v>
      </c>
      <c r="E94" s="125"/>
      <c r="F94" s="125" t="s">
        <v>870</v>
      </c>
      <c r="G94" s="132">
        <v>0</v>
      </c>
      <c r="H94" s="125"/>
      <c r="I94" s="125"/>
      <c r="J94" s="125"/>
      <c r="K94" s="125"/>
      <c r="L94" s="125"/>
      <c r="M94" s="125"/>
      <c r="N94" s="125"/>
      <c r="O94" s="125"/>
      <c r="P94" s="125"/>
      <c r="Q94" s="125"/>
      <c r="R94" s="125"/>
      <c r="S94" s="125"/>
      <c r="T94" s="125"/>
    </row>
    <row r="95" spans="1:20">
      <c r="A95" s="125"/>
      <c r="B95" s="125" t="s">
        <v>799</v>
      </c>
      <c r="C95" s="125"/>
      <c r="D95" s="131">
        <f>G22+G27+G37+G45+G58+G61+G64+G73+G86</f>
        <v>30</v>
      </c>
      <c r="E95" s="125"/>
      <c r="F95" s="125"/>
      <c r="G95" s="125"/>
      <c r="H95" s="125"/>
      <c r="I95" s="125"/>
      <c r="J95" s="125"/>
      <c r="K95" s="125"/>
      <c r="L95" s="125"/>
      <c r="M95" s="125"/>
      <c r="N95" s="125"/>
      <c r="O95" s="125"/>
      <c r="P95" s="125"/>
      <c r="Q95" s="125"/>
      <c r="R95" s="125"/>
      <c r="S95" s="125"/>
      <c r="T95" s="125"/>
    </row>
    <row r="96" spans="1:20">
      <c r="A96" s="125"/>
      <c r="B96" s="125" t="s">
        <v>627</v>
      </c>
      <c r="C96" s="125"/>
      <c r="D96" s="131">
        <f>D94</f>
        <v>30</v>
      </c>
      <c r="E96" s="125"/>
      <c r="F96" s="125"/>
      <c r="G96" s="125"/>
      <c r="H96" s="125"/>
      <c r="I96" s="125"/>
      <c r="J96" s="125"/>
      <c r="K96" s="125"/>
      <c r="L96" s="125"/>
      <c r="M96" s="125"/>
      <c r="N96" s="125"/>
      <c r="O96" s="125"/>
      <c r="P96" s="125"/>
      <c r="Q96" s="125"/>
      <c r="R96" s="125"/>
      <c r="S96" s="125"/>
      <c r="T96" s="125"/>
    </row>
    <row r="97" spans="1:20">
      <c r="A97" s="125"/>
      <c r="B97" s="125" t="s">
        <v>623</v>
      </c>
      <c r="C97" s="125"/>
      <c r="D97" s="131">
        <f>D96/12</f>
        <v>2.5</v>
      </c>
      <c r="E97" s="125"/>
      <c r="F97" s="125"/>
      <c r="G97" s="125"/>
      <c r="H97" s="125"/>
      <c r="I97" s="125"/>
      <c r="J97" s="125"/>
      <c r="K97" s="125"/>
      <c r="L97" s="125"/>
      <c r="M97" s="125"/>
      <c r="N97" s="125"/>
      <c r="O97" s="125"/>
      <c r="P97" s="125"/>
      <c r="Q97" s="125"/>
      <c r="R97" s="125"/>
      <c r="S97" s="125"/>
      <c r="T97" s="125"/>
    </row>
    <row r="98" spans="1:20">
      <c r="A98" s="125"/>
      <c r="B98" s="125" t="s">
        <v>512</v>
      </c>
      <c r="C98" s="125"/>
      <c r="D98" s="131">
        <f>SUM(D96:D97)</f>
        <v>32.5</v>
      </c>
      <c r="E98" s="125"/>
      <c r="F98" s="125"/>
      <c r="G98" s="125"/>
      <c r="H98" s="125"/>
      <c r="I98" s="125"/>
      <c r="J98" s="125"/>
      <c r="K98" s="125"/>
      <c r="L98" s="125"/>
      <c r="M98" s="125"/>
      <c r="N98" s="125"/>
      <c r="O98" s="125"/>
      <c r="P98" s="125"/>
      <c r="Q98" s="125"/>
      <c r="R98" s="125"/>
      <c r="S98" s="125"/>
      <c r="T98" s="125"/>
    </row>
    <row r="99" spans="1:20">
      <c r="A99" s="125"/>
      <c r="B99" s="125"/>
      <c r="C99" s="125"/>
      <c r="D99" s="125"/>
      <c r="E99" s="125"/>
      <c r="F99" s="125"/>
      <c r="G99" s="125"/>
      <c r="H99" s="125"/>
      <c r="I99" s="125"/>
      <c r="J99" s="125"/>
      <c r="K99" s="125"/>
      <c r="L99" s="125"/>
      <c r="M99" s="125"/>
      <c r="N99" s="125"/>
      <c r="O99" s="125"/>
      <c r="P99" s="125"/>
      <c r="Q99" s="125"/>
      <c r="R99" s="125"/>
      <c r="S99" s="125"/>
      <c r="T99" s="125"/>
    </row>
  </sheetData>
  <mergeCells count="11">
    <mergeCell ref="A6:B6"/>
    <mergeCell ref="A1:B1"/>
    <mergeCell ref="A2:B2"/>
    <mergeCell ref="A3:B3"/>
    <mergeCell ref="A4:B4"/>
    <mergeCell ref="A5:B5"/>
    <mergeCell ref="A7:S7"/>
    <mergeCell ref="A8:B8"/>
    <mergeCell ref="A9:B9"/>
    <mergeCell ref="A10:B10"/>
    <mergeCell ref="A11:B11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DELIVERABLES</vt:lpstr>
      <vt:lpstr>Mapping</vt:lpstr>
      <vt:lpstr>OverviewSheet</vt:lpstr>
    </vt:vector>
  </TitlesOfParts>
  <Company>KH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 Barros, Daniel</dc:creator>
  <cp:lastModifiedBy>De Barros, Daniel (DDA)</cp:lastModifiedBy>
  <dcterms:created xsi:type="dcterms:W3CDTF">2023-04-04T08:47:16Z</dcterms:created>
  <dcterms:modified xsi:type="dcterms:W3CDTF">2023-04-19T13:33:43Z</dcterms:modified>
</cp:coreProperties>
</file>